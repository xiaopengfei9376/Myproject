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38" codeName="{3D1A710C-6663-3D7B-7F91-EC182F24A4BC}"/>
  <workbookPr filterPrivacy="1" codeName="ThisWorkbook"/>
  <xr:revisionPtr revIDLastSave="0" documentId="13_ncr:1_{F9A42017-93AF-45A0-9EA5-55F51B464983}" xr6:coauthVersionLast="36" xr6:coauthVersionMax="43" xr10:uidLastSave="{00000000-0000-0000-0000-000000000000}"/>
  <workbookProtection lockStructure="1"/>
  <bookViews>
    <workbookView xWindow="-105" yWindow="-105" windowWidth="23250" windowHeight="12570" activeTab="11" xr2:uid="{00000000-000D-0000-FFFF-FFFF00000000}"/>
  </bookViews>
  <sheets>
    <sheet name="Data1" sheetId="3" r:id="rId1"/>
    <sheet name="Data2" sheetId="4" r:id="rId2"/>
    <sheet name="Data3" sheetId="5" r:id="rId3"/>
    <sheet name="Data4" sheetId="6" r:id="rId4"/>
    <sheet name="Data5" sheetId="7" r:id="rId5"/>
    <sheet name="Data6" sheetId="8" r:id="rId6"/>
    <sheet name="Data7" sheetId="9" r:id="rId7"/>
    <sheet name="Data8" sheetId="10" r:id="rId8"/>
    <sheet name="Data9" sheetId="11" r:id="rId9"/>
    <sheet name="Data10" sheetId="12" state="veryHidden" r:id="rId10"/>
    <sheet name="数据" sheetId="18" state="veryHidden" r:id="rId11"/>
    <sheet name="report" sheetId="1" r:id="rId12"/>
    <sheet name="AATCC 183" sheetId="13" state="veryHidden" r:id="rId13"/>
    <sheet name="ASNZS 4399" sheetId="15" state="veryHidden" r:id="rId14"/>
    <sheet name="EN 13758 BS 8466" sheetId="16" state="veryHidden" r:id="rId15"/>
    <sheet name="GBT 18830" sheetId="17" state="veryHidden" r:id="rId16"/>
    <sheet name="Table" sheetId="2" state="veryHidden" r:id="rId17"/>
  </sheets>
  <functionGroups builtInGroupCount="19"/>
  <definedNames>
    <definedName name="_xlnm.Print_Area" localSheetId="11">report!$A$3:$I$84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4" i="1" l="1"/>
  <c r="D69" i="1"/>
  <c r="D71" i="1" s="1"/>
  <c r="D68" i="1"/>
  <c r="D70" i="1" s="1"/>
  <c r="D67" i="1"/>
  <c r="H66" i="1"/>
  <c r="F66" i="1"/>
  <c r="D66" i="1"/>
  <c r="H65" i="1"/>
  <c r="F65" i="1"/>
  <c r="D65" i="1"/>
  <c r="H59" i="1"/>
  <c r="F59" i="1"/>
  <c r="D59" i="1"/>
  <c r="H58" i="1"/>
  <c r="F58" i="1"/>
  <c r="D58" i="1"/>
  <c r="H52" i="1"/>
  <c r="F52" i="1"/>
  <c r="D52" i="1"/>
  <c r="H51" i="1"/>
  <c r="F51" i="1"/>
  <c r="D51" i="1"/>
  <c r="D43" i="1"/>
  <c r="D38" i="1"/>
  <c r="D40" i="1" s="1"/>
  <c r="D37" i="1"/>
  <c r="D39" i="1" s="1"/>
  <c r="D36" i="1"/>
  <c r="H35" i="1"/>
  <c r="F35" i="1"/>
  <c r="D35" i="1"/>
  <c r="H34" i="1"/>
  <c r="F34" i="1"/>
  <c r="D34" i="1"/>
  <c r="H28" i="1"/>
  <c r="F28" i="1"/>
  <c r="D28" i="1"/>
  <c r="H27" i="1"/>
  <c r="F27" i="1"/>
  <c r="D27" i="1"/>
  <c r="H21" i="1"/>
  <c r="F21" i="1"/>
  <c r="D21" i="1"/>
  <c r="H20" i="1"/>
  <c r="F20" i="1"/>
  <c r="D20" i="1"/>
  <c r="Y30" i="18" l="1"/>
  <c r="T30" i="2" l="1"/>
  <c r="T31" i="2"/>
  <c r="T32" i="2"/>
  <c r="T33" i="2"/>
  <c r="T34" i="2"/>
  <c r="T29" i="2"/>
  <c r="T28" i="2"/>
  <c r="Z68" i="12" l="1"/>
  <c r="Y68" i="12"/>
  <c r="Z68" i="11" l="1"/>
  <c r="Y68" i="11"/>
  <c r="Z68" i="10"/>
  <c r="Y68" i="10"/>
  <c r="Z68" i="9"/>
  <c r="Y68" i="9"/>
  <c r="Z68" i="8"/>
  <c r="Y68" i="8"/>
  <c r="Z68" i="7"/>
  <c r="Y68" i="7"/>
  <c r="Z68" i="6"/>
  <c r="Y68" i="6"/>
  <c r="Z68" i="5"/>
  <c r="Y68" i="5"/>
  <c r="Z68" i="4"/>
  <c r="Y68" i="4"/>
  <c r="T17" i="2" l="1"/>
  <c r="T18" i="2"/>
  <c r="T19" i="2"/>
  <c r="T23" i="2" s="1"/>
  <c r="T20" i="2"/>
  <c r="T21" i="2"/>
  <c r="T22" i="2"/>
  <c r="T16" i="2"/>
  <c r="Z68" i="3" l="1"/>
  <c r="Y68" i="3"/>
  <c r="R11" i="18"/>
  <c r="Q16" i="18"/>
  <c r="N10" i="18"/>
  <c r="T18" i="18"/>
  <c r="U4" i="18"/>
  <c r="N24" i="18"/>
  <c r="R13" i="18"/>
  <c r="M12" i="18"/>
  <c r="P9" i="18"/>
  <c r="S22" i="18"/>
  <c r="U17" i="18"/>
  <c r="R19" i="18"/>
  <c r="T19" i="18"/>
  <c r="W4" i="18"/>
  <c r="S16" i="18"/>
  <c r="U5" i="18"/>
  <c r="N9" i="18"/>
  <c r="N7" i="18"/>
  <c r="V22" i="18"/>
  <c r="S25" i="18"/>
  <c r="T15" i="18"/>
  <c r="S15" i="18"/>
  <c r="N16" i="18"/>
  <c r="W23" i="18"/>
  <c r="S10" i="18"/>
  <c r="P24" i="18"/>
  <c r="M10" i="18"/>
  <c r="W5" i="18"/>
  <c r="V4" i="18"/>
  <c r="T13" i="18"/>
  <c r="O3" i="18"/>
  <c r="Q7" i="18"/>
  <c r="N12" i="18"/>
  <c r="O5" i="18"/>
  <c r="O12" i="18"/>
  <c r="P17" i="18"/>
  <c r="V18" i="18"/>
  <c r="U25" i="18"/>
  <c r="P22" i="18"/>
  <c r="R14" i="18"/>
  <c r="T7" i="18"/>
  <c r="V6" i="18"/>
  <c r="M8" i="18"/>
  <c r="S5" i="18"/>
  <c r="O11" i="18"/>
  <c r="O20" i="18"/>
  <c r="W6" i="18"/>
  <c r="S23" i="18"/>
  <c r="R7" i="18"/>
  <c r="T20" i="18"/>
  <c r="Q17" i="18"/>
  <c r="M20" i="18"/>
  <c r="T9" i="18"/>
  <c r="U22" i="18"/>
  <c r="N19" i="18"/>
  <c r="W14" i="18"/>
  <c r="T16" i="18"/>
  <c r="P6" i="18"/>
  <c r="R10" i="18"/>
  <c r="P5" i="18"/>
  <c r="T21" i="18"/>
  <c r="V12" i="18"/>
  <c r="W13" i="18"/>
  <c r="W22" i="18"/>
  <c r="U8" i="18"/>
  <c r="O4" i="18"/>
  <c r="S19" i="18"/>
  <c r="N3" i="18"/>
  <c r="R12" i="18"/>
  <c r="V14" i="18"/>
  <c r="U15" i="18"/>
  <c r="O24" i="18"/>
  <c r="S3" i="18"/>
  <c r="M18" i="18"/>
  <c r="S18" i="18"/>
  <c r="P16" i="18"/>
  <c r="N8" i="18"/>
  <c r="P4" i="18"/>
  <c r="N5" i="18"/>
  <c r="W7" i="18"/>
  <c r="V3" i="18"/>
  <c r="O7" i="18"/>
  <c r="O18" i="18"/>
  <c r="M16" i="18"/>
  <c r="Q6" i="18"/>
  <c r="T10" i="18"/>
  <c r="T11" i="18"/>
  <c r="V24" i="18"/>
  <c r="T5" i="18"/>
  <c r="T24" i="18"/>
  <c r="W25" i="18"/>
  <c r="W8" i="18"/>
  <c r="P8" i="18"/>
  <c r="Q8" i="18"/>
  <c r="O25" i="18"/>
  <c r="M5" i="18"/>
  <c r="P11" i="18"/>
  <c r="R22" i="18"/>
  <c r="R9" i="18"/>
  <c r="N23" i="18"/>
  <c r="P14" i="18"/>
  <c r="R23" i="18"/>
  <c r="V8" i="18"/>
  <c r="S12" i="18"/>
  <c r="O6" i="18"/>
  <c r="R25" i="18"/>
  <c r="U14" i="18"/>
  <c r="S8" i="18"/>
  <c r="N15" i="18"/>
  <c r="W11" i="18"/>
  <c r="Q20" i="18"/>
  <c r="V20" i="18"/>
  <c r="S6" i="18"/>
  <c r="N20" i="18"/>
  <c r="W17" i="18"/>
  <c r="Q11" i="18"/>
  <c r="M7" i="18"/>
  <c r="V17" i="18"/>
  <c r="O19" i="18"/>
  <c r="Q24" i="18"/>
  <c r="T23" i="18"/>
  <c r="V16" i="18"/>
  <c r="M17" i="18"/>
  <c r="S11" i="18"/>
  <c r="U16" i="18"/>
  <c r="W3" i="18"/>
  <c r="V25" i="18"/>
  <c r="T3" i="18"/>
  <c r="V10" i="18"/>
  <c r="T22" i="18"/>
  <c r="O10" i="18"/>
  <c r="S9" i="18"/>
  <c r="P25" i="18"/>
  <c r="O15" i="18"/>
  <c r="O17" i="18"/>
  <c r="P23" i="18"/>
  <c r="U9" i="18"/>
  <c r="N13" i="18"/>
  <c r="R6" i="18"/>
  <c r="W9" i="18"/>
  <c r="Q13" i="18"/>
  <c r="P3" i="18"/>
  <c r="O9" i="18"/>
  <c r="S4" i="18"/>
  <c r="R20" i="18"/>
  <c r="U23" i="18"/>
  <c r="U11" i="18"/>
  <c r="T17" i="18"/>
  <c r="Q22" i="18"/>
  <c r="V7" i="18"/>
  <c r="P15" i="18"/>
  <c r="V19" i="18"/>
  <c r="W12" i="18"/>
  <c r="W16" i="18"/>
  <c r="Q12" i="18"/>
  <c r="P19" i="18"/>
  <c r="M4" i="18"/>
  <c r="R4" i="18"/>
  <c r="N25" i="18"/>
  <c r="R24" i="18"/>
  <c r="U12" i="18"/>
  <c r="U19" i="18"/>
  <c r="M19" i="18"/>
  <c r="W20" i="18"/>
  <c r="O16" i="18"/>
  <c r="O14" i="18"/>
  <c r="O23" i="18"/>
  <c r="P20" i="18"/>
  <c r="R3" i="18"/>
  <c r="P7" i="18"/>
  <c r="W10" i="18"/>
  <c r="M24" i="18"/>
  <c r="P21" i="18"/>
  <c r="M25" i="18"/>
  <c r="R21" i="18"/>
  <c r="S17" i="18"/>
  <c r="T8" i="18"/>
  <c r="T25" i="18"/>
  <c r="U7" i="18"/>
  <c r="T14" i="18"/>
  <c r="R15" i="18"/>
  <c r="N21" i="18"/>
  <c r="Q18" i="18"/>
  <c r="S14" i="18"/>
  <c r="S21" i="18"/>
  <c r="P12" i="18"/>
  <c r="M14" i="18"/>
  <c r="N11" i="18"/>
  <c r="V23" i="18"/>
  <c r="V15" i="18"/>
  <c r="Q9" i="18"/>
  <c r="Q25" i="18"/>
  <c r="Q23" i="18"/>
  <c r="U18" i="18"/>
  <c r="Q4" i="18"/>
  <c r="U3" i="18"/>
  <c r="V9" i="18"/>
  <c r="S24" i="18"/>
  <c r="Q19" i="18"/>
  <c r="W19" i="18"/>
  <c r="U10" i="18"/>
  <c r="W15" i="18"/>
  <c r="U24" i="18"/>
  <c r="N4" i="18"/>
  <c r="Q21" i="18"/>
  <c r="N6" i="18"/>
  <c r="M9" i="18"/>
  <c r="Q14" i="18"/>
  <c r="T6" i="18"/>
  <c r="U6" i="18"/>
  <c r="R17" i="18"/>
  <c r="M21" i="18"/>
  <c r="T4" i="18"/>
  <c r="Q15" i="18"/>
  <c r="S7" i="18"/>
  <c r="S20" i="18"/>
  <c r="Q5" i="18"/>
  <c r="V21" i="18"/>
  <c r="V5" i="18"/>
  <c r="W21" i="18"/>
  <c r="O13" i="18"/>
  <c r="M13" i="18"/>
  <c r="Q3" i="18"/>
  <c r="M11" i="18"/>
  <c r="V13" i="18"/>
  <c r="N14" i="18"/>
  <c r="M23" i="18"/>
  <c r="W24" i="18"/>
  <c r="U21" i="18"/>
  <c r="M6" i="18"/>
  <c r="V11" i="18"/>
  <c r="O8" i="18"/>
  <c r="P10" i="18"/>
  <c r="M15" i="18"/>
  <c r="P18" i="18"/>
  <c r="M3" i="18"/>
  <c r="P13" i="18"/>
  <c r="S13" i="18"/>
  <c r="R18" i="18"/>
  <c r="M22" i="18"/>
  <c r="N18" i="18"/>
  <c r="R16" i="18"/>
  <c r="O22" i="18"/>
  <c r="U20" i="18"/>
  <c r="N22" i="18"/>
  <c r="R8" i="18"/>
  <c r="U13" i="18"/>
  <c r="O21" i="18"/>
  <c r="N17" i="18"/>
  <c r="R5" i="18"/>
  <c r="W18" i="18"/>
  <c r="T12" i="18"/>
  <c r="Q10" i="18"/>
  <c r="AD14" i="18" l="1"/>
  <c r="AG16" i="18"/>
  <c r="AJ22" i="18"/>
  <c r="AE9" i="18"/>
  <c r="AA21" i="18"/>
  <c r="AB25" i="18"/>
  <c r="AH17" i="18"/>
  <c r="AE12" i="18"/>
  <c r="AA26" i="18"/>
  <c r="AH24" i="18"/>
  <c r="AB26" i="18"/>
  <c r="AE20" i="18"/>
  <c r="AA22" i="18"/>
  <c r="X26" i="18"/>
  <c r="AE22" i="18"/>
  <c r="AF17" i="18"/>
  <c r="AC17" i="18"/>
  <c r="X7" i="18"/>
  <c r="AC22" i="18"/>
  <c r="X19" i="18"/>
  <c r="AC14" i="18"/>
  <c r="AB12" i="18"/>
  <c r="AI15" i="18"/>
  <c r="X10" i="18"/>
  <c r="AH25" i="18"/>
  <c r="AJ28" i="18"/>
  <c r="X27" i="18"/>
  <c r="AA18" i="18"/>
  <c r="AI17" i="18"/>
  <c r="X15" i="18"/>
  <c r="AD7" i="18"/>
  <c r="X17" i="18"/>
  <c r="AB17" i="18"/>
  <c r="AJ25" i="18"/>
  <c r="AI9" i="18"/>
  <c r="AI25" i="18"/>
  <c r="AD9" i="18"/>
  <c r="AF24" i="18"/>
  <c r="AF11" i="18"/>
  <c r="AD19" i="18"/>
  <c r="AG8" i="18"/>
  <c r="X25" i="18"/>
  <c r="AE21" i="18"/>
  <c r="AH10" i="18"/>
  <c r="AG10" i="18"/>
  <c r="AD18" i="18"/>
  <c r="X13" i="18"/>
  <c r="AA10" i="18"/>
  <c r="AD25" i="18"/>
  <c r="AA8" i="18"/>
  <c r="AH28" i="18"/>
  <c r="AJ19" i="18"/>
  <c r="AH14" i="18"/>
  <c r="AJ23" i="18"/>
  <c r="AD23" i="18"/>
  <c r="AF28" i="18"/>
  <c r="AI13" i="18"/>
  <c r="AH7" i="18"/>
  <c r="AD8" i="18"/>
  <c r="AH22" i="18"/>
  <c r="AD27" i="18"/>
  <c r="AD29" i="18"/>
  <c r="AD13" i="18"/>
  <c r="AI19" i="18"/>
  <c r="AI27" i="18"/>
  <c r="AA15" i="18"/>
  <c r="X18" i="18"/>
  <c r="AC16" i="18"/>
  <c r="AF25" i="18"/>
  <c r="AF18" i="18"/>
  <c r="AD22" i="18"/>
  <c r="AA25" i="18"/>
  <c r="AE19" i="18"/>
  <c r="AG18" i="18"/>
  <c r="AH11" i="18"/>
  <c r="AG29" i="18"/>
  <c r="AG12" i="18"/>
  <c r="AF21" i="18"/>
  <c r="AE25" i="18"/>
  <c r="X29" i="18"/>
  <c r="AC25" i="18"/>
  <c r="X28" i="18"/>
  <c r="AJ14" i="18"/>
  <c r="AC11" i="18"/>
  <c r="AE7" i="18"/>
  <c r="AC24" i="18"/>
  <c r="AB27" i="18"/>
  <c r="AB18" i="18"/>
  <c r="AB20" i="18"/>
  <c r="AJ24" i="18"/>
  <c r="X23" i="18"/>
  <c r="AH23" i="18"/>
  <c r="AH16" i="18"/>
  <c r="AE28" i="18"/>
  <c r="AA29" i="18"/>
  <c r="AE8" i="18"/>
  <c r="X8" i="18"/>
  <c r="AC23" i="18"/>
  <c r="AD16" i="18"/>
  <c r="AJ20" i="18"/>
  <c r="AJ16" i="18"/>
  <c r="AI23" i="18"/>
  <c r="AC19" i="18"/>
  <c r="AI11" i="18"/>
  <c r="AD26" i="18"/>
  <c r="AG21" i="18"/>
  <c r="AH15" i="18"/>
  <c r="AH27" i="18"/>
  <c r="AE24" i="18"/>
  <c r="AF8" i="18"/>
  <c r="AB13" i="18"/>
  <c r="AC7" i="18"/>
  <c r="AD17" i="18"/>
  <c r="AJ13" i="18"/>
  <c r="AE10" i="18"/>
  <c r="AA17" i="18"/>
  <c r="AH13" i="18"/>
  <c r="AC27" i="18"/>
  <c r="AB21" i="18"/>
  <c r="AB19" i="18"/>
  <c r="AC29" i="18"/>
  <c r="AF13" i="18"/>
  <c r="AB14" i="18"/>
  <c r="AG26" i="18"/>
  <c r="AI14" i="18"/>
  <c r="AG7" i="18"/>
  <c r="AI29" i="18"/>
  <c r="AJ7" i="18"/>
  <c r="AH20" i="18"/>
  <c r="AF15" i="18"/>
  <c r="X21" i="18"/>
  <c r="AI20" i="18"/>
  <c r="AG27" i="18"/>
  <c r="AD28" i="18"/>
  <c r="AB23" i="18"/>
  <c r="AI21" i="18"/>
  <c r="X11" i="18"/>
  <c r="AD15" i="18"/>
  <c r="AJ21" i="18"/>
  <c r="AA24" i="18"/>
  <c r="AF10" i="18"/>
  <c r="AI24" i="18"/>
  <c r="AD24" i="18"/>
  <c r="AJ15" i="18"/>
  <c r="AA19" i="18"/>
  <c r="AF12" i="18"/>
  <c r="AH18" i="18"/>
  <c r="AE29" i="18"/>
  <c r="AB10" i="18"/>
  <c r="AF16" i="18"/>
  <c r="AI12" i="18"/>
  <c r="AE27" i="18"/>
  <c r="AC18" i="18"/>
  <c r="AA27" i="18"/>
  <c r="AE13" i="18"/>
  <c r="AE26" i="18"/>
  <c r="AC15" i="18"/>
  <c r="X9" i="18"/>
  <c r="AB29" i="18"/>
  <c r="AD12" i="18"/>
  <c r="AC12" i="18"/>
  <c r="AJ12" i="18"/>
  <c r="AJ29" i="18"/>
  <c r="AG28" i="18"/>
  <c r="AG9" i="18"/>
  <c r="AI28" i="18"/>
  <c r="AG15" i="18"/>
  <c r="AG14" i="18"/>
  <c r="AD10" i="18"/>
  <c r="X20" i="18"/>
  <c r="AB22" i="18"/>
  <c r="AB11" i="18"/>
  <c r="AI7" i="18"/>
  <c r="AJ11" i="18"/>
  <c r="AA9" i="18"/>
  <c r="AC8" i="18"/>
  <c r="AA12" i="18"/>
  <c r="AC20" i="18"/>
  <c r="AF22" i="18"/>
  <c r="X22" i="18"/>
  <c r="AF7" i="18"/>
  <c r="AB28" i="18"/>
  <c r="AH19" i="18"/>
  <c r="AI18" i="18"/>
  <c r="AE16" i="18"/>
  <c r="AA7" i="18"/>
  <c r="AF23" i="18"/>
  <c r="AB8" i="18"/>
  <c r="AH12" i="18"/>
  <c r="AJ26" i="18"/>
  <c r="AJ17" i="18"/>
  <c r="AI16" i="18"/>
  <c r="AG25" i="18"/>
  <c r="AC9" i="18"/>
  <c r="AE14" i="18"/>
  <c r="AC10" i="18"/>
  <c r="AG20" i="18"/>
  <c r="AJ18" i="18"/>
  <c r="AA23" i="18"/>
  <c r="AH26" i="18"/>
  <c r="AG13" i="18"/>
  <c r="X24" i="18"/>
  <c r="AD21" i="18"/>
  <c r="AG24" i="18"/>
  <c r="AE11" i="18"/>
  <c r="AF27" i="18"/>
  <c r="AJ10" i="18"/>
  <c r="AB24" i="18"/>
  <c r="AB15" i="18"/>
  <c r="AF9" i="18"/>
  <c r="X12" i="18"/>
  <c r="AI10" i="18"/>
  <c r="AG11" i="18"/>
  <c r="AE18" i="18"/>
  <c r="AC26" i="18"/>
  <c r="AH29" i="18"/>
  <c r="AI22" i="18"/>
  <c r="AC21" i="18"/>
  <c r="AB16" i="18"/>
  <c r="AB9" i="18"/>
  <c r="AA16" i="18"/>
  <c r="AD11" i="18"/>
  <c r="AB7" i="18"/>
  <c r="AG17" i="18"/>
  <c r="AI8" i="18"/>
  <c r="AJ9" i="18"/>
  <c r="X14" i="18"/>
  <c r="AC28" i="18"/>
  <c r="AF14" i="18"/>
  <c r="AJ27" i="18"/>
  <c r="AA20" i="18"/>
  <c r="AF19" i="18"/>
  <c r="AG19" i="18"/>
  <c r="AF29" i="18"/>
  <c r="AI26" i="18"/>
  <c r="AA11" i="18"/>
  <c r="AA13" i="18"/>
  <c r="AH9" i="18"/>
  <c r="AF20" i="18"/>
  <c r="AJ8" i="18"/>
  <c r="AG23" i="18"/>
  <c r="AE23" i="18"/>
  <c r="AH21" i="18"/>
  <c r="AF26" i="18"/>
  <c r="AC13" i="18"/>
  <c r="X16" i="18"/>
  <c r="AE17" i="18"/>
  <c r="AA28" i="18"/>
  <c r="AH8" i="18"/>
  <c r="AG22" i="18"/>
  <c r="AA14" i="18"/>
  <c r="AD20" i="18"/>
  <c r="AE15" i="18"/>
  <c r="P27" i="12"/>
  <c r="P26" i="12"/>
  <c r="P25" i="12"/>
  <c r="P24" i="12"/>
  <c r="P23" i="12"/>
  <c r="P22" i="12"/>
  <c r="P21" i="12"/>
  <c r="P27" i="11"/>
  <c r="P26" i="11"/>
  <c r="P25" i="11"/>
  <c r="P24" i="11"/>
  <c r="P23" i="11"/>
  <c r="P22" i="11"/>
  <c r="P21" i="11"/>
  <c r="P27" i="10"/>
  <c r="P26" i="10"/>
  <c r="P25" i="10"/>
  <c r="P24" i="10"/>
  <c r="P23" i="10"/>
  <c r="P22" i="10"/>
  <c r="P21" i="10"/>
  <c r="P27" i="9"/>
  <c r="P26" i="9"/>
  <c r="P25" i="9"/>
  <c r="P24" i="9"/>
  <c r="P23" i="9"/>
  <c r="P22" i="9"/>
  <c r="P21" i="9"/>
  <c r="P27" i="8"/>
  <c r="P26" i="8"/>
  <c r="P25" i="8"/>
  <c r="P24" i="8"/>
  <c r="P23" i="8"/>
  <c r="P22" i="8"/>
  <c r="P21" i="8"/>
  <c r="P27" i="7"/>
  <c r="P26" i="7"/>
  <c r="P25" i="7"/>
  <c r="P24" i="7"/>
  <c r="P23" i="7"/>
  <c r="P22" i="7"/>
  <c r="P21" i="7"/>
  <c r="P27" i="6"/>
  <c r="P26" i="6"/>
  <c r="P25" i="6"/>
  <c r="P24" i="6"/>
  <c r="P23" i="6"/>
  <c r="P22" i="6"/>
  <c r="P21" i="6"/>
  <c r="P27" i="5"/>
  <c r="P26" i="5"/>
  <c r="P25" i="5"/>
  <c r="P24" i="5"/>
  <c r="P23" i="5"/>
  <c r="P22" i="5"/>
  <c r="P21" i="5"/>
  <c r="P27" i="4"/>
  <c r="P26" i="4"/>
  <c r="P25" i="4"/>
  <c r="P24" i="4"/>
  <c r="P23" i="4"/>
  <c r="P22" i="4"/>
  <c r="P21" i="4"/>
  <c r="AR8" i="18" l="1"/>
  <c r="AN8" i="18"/>
  <c r="AS8" i="18"/>
  <c r="AU8" i="18"/>
  <c r="AV8" i="18"/>
  <c r="AP8" i="18"/>
  <c r="AQ7" i="18"/>
  <c r="AS7" i="18"/>
  <c r="AP7" i="18"/>
  <c r="AG31" i="18"/>
  <c r="AG32" i="18" s="1"/>
  <c r="AJ31" i="18"/>
  <c r="AJ32" i="18" s="1"/>
  <c r="AT8" i="18"/>
  <c r="AA31" i="18"/>
  <c r="AA32" i="18" s="1"/>
  <c r="AD31" i="18"/>
  <c r="AD32" i="18" s="1"/>
  <c r="AO8" i="18"/>
  <c r="AQ8" i="18"/>
  <c r="AF31" i="18"/>
  <c r="AF32" i="18" s="1"/>
  <c r="AU7" i="18"/>
  <c r="AN7" i="18"/>
  <c r="AM8" i="18"/>
  <c r="AV7" i="18"/>
  <c r="AC31" i="18"/>
  <c r="AC32" i="18" s="1"/>
  <c r="AH31" i="18"/>
  <c r="AH32" i="18" s="1"/>
  <c r="AB31" i="18"/>
  <c r="AB32" i="18" s="1"/>
  <c r="AM7" i="18"/>
  <c r="AE31" i="18"/>
  <c r="AE32" i="18" s="1"/>
  <c r="AR7" i="18"/>
  <c r="AI31" i="18"/>
  <c r="AI32" i="18" s="1"/>
  <c r="AO7" i="18"/>
  <c r="AT7" i="18"/>
  <c r="P27" i="3"/>
  <c r="P26" i="3"/>
  <c r="P25" i="3"/>
  <c r="P24" i="3"/>
  <c r="P23" i="3"/>
  <c r="P22" i="3"/>
  <c r="P21" i="3"/>
  <c r="T41" i="10"/>
  <c r="V140" i="7"/>
  <c r="Q40" i="12"/>
  <c r="T119" i="8"/>
  <c r="U109" i="8"/>
  <c r="U131" i="5"/>
  <c r="V145" i="9"/>
  <c r="V42" i="12"/>
  <c r="R93" i="11"/>
  <c r="E57" i="9"/>
  <c r="Q93" i="6"/>
  <c r="T81" i="6"/>
  <c r="G28" i="3"/>
  <c r="R112" i="5"/>
  <c r="U111" i="7"/>
  <c r="Q93" i="11"/>
  <c r="Q123" i="4"/>
  <c r="T50" i="9"/>
  <c r="R112" i="12"/>
  <c r="R52" i="4"/>
  <c r="V70" i="3"/>
  <c r="T47" i="11"/>
  <c r="T132" i="8"/>
  <c r="U100" i="4"/>
  <c r="T53" i="10"/>
  <c r="S114" i="7"/>
  <c r="S49" i="7"/>
  <c r="T123" i="11"/>
  <c r="U30" i="9"/>
  <c r="F8" i="5"/>
  <c r="V59" i="6"/>
  <c r="U77" i="3"/>
  <c r="T117" i="10"/>
  <c r="T98" i="8"/>
  <c r="T113" i="5"/>
  <c r="D21" i="5"/>
  <c r="C42" i="9"/>
  <c r="Q52" i="9"/>
  <c r="T38" i="6"/>
  <c r="V72" i="9"/>
  <c r="U61" i="12"/>
  <c r="S45" i="11"/>
  <c r="S89" i="11"/>
  <c r="U90" i="5"/>
  <c r="S135" i="11"/>
  <c r="S122" i="3"/>
  <c r="S38" i="7"/>
  <c r="S56" i="7"/>
  <c r="U44" i="10"/>
  <c r="U44" i="5"/>
  <c r="U31" i="12"/>
  <c r="U56" i="12"/>
  <c r="V53" i="10"/>
  <c r="V18" i="7"/>
  <c r="B15" i="6"/>
  <c r="R143" i="7"/>
  <c r="R30" i="6"/>
  <c r="R110" i="8"/>
  <c r="Q144" i="5"/>
  <c r="S41" i="5"/>
  <c r="S90" i="4"/>
  <c r="F57" i="11"/>
  <c r="R48" i="4"/>
  <c r="V111" i="5"/>
  <c r="Q60" i="7"/>
  <c r="T31" i="5"/>
  <c r="S20" i="3"/>
  <c r="S127" i="9"/>
  <c r="T82" i="5"/>
  <c r="S87" i="8"/>
  <c r="S93" i="11"/>
  <c r="S139" i="11"/>
  <c r="R94" i="4"/>
  <c r="S25" i="4"/>
  <c r="T150" i="8"/>
  <c r="R76" i="12"/>
  <c r="V59" i="11"/>
  <c r="Q106" i="8"/>
  <c r="S41" i="3"/>
  <c r="S125" i="10"/>
  <c r="Q129" i="9"/>
  <c r="Q48" i="5"/>
  <c r="U109" i="12"/>
  <c r="R42" i="8"/>
  <c r="T148" i="12"/>
  <c r="Q88" i="12"/>
  <c r="R91" i="11"/>
  <c r="F34" i="11"/>
  <c r="U137" i="8"/>
  <c r="C35" i="8"/>
  <c r="E18" i="3"/>
  <c r="S110" i="9"/>
  <c r="B36" i="11"/>
  <c r="R141" i="12"/>
  <c r="V59" i="8"/>
  <c r="S40" i="8"/>
  <c r="V41" i="12"/>
  <c r="U132" i="11"/>
  <c r="T68" i="3"/>
  <c r="R108" i="11"/>
  <c r="T125" i="3"/>
  <c r="Q47" i="9"/>
  <c r="R131" i="8"/>
  <c r="R77" i="12"/>
  <c r="D5" i="6"/>
  <c r="E21" i="4"/>
  <c r="U117" i="12"/>
  <c r="U144" i="9"/>
  <c r="E29" i="10"/>
  <c r="T47" i="8"/>
  <c r="T91" i="12"/>
  <c r="V7" i="12"/>
  <c r="V74" i="11"/>
  <c r="V56" i="9"/>
  <c r="V47" i="5"/>
  <c r="T11" i="4"/>
  <c r="R126" i="11"/>
  <c r="S47" i="8"/>
  <c r="S116" i="3"/>
  <c r="R36" i="3"/>
  <c r="S132" i="7"/>
  <c r="U85" i="3"/>
  <c r="S83" i="12"/>
  <c r="T94" i="11"/>
  <c r="V104" i="10"/>
  <c r="S111" i="11"/>
  <c r="S63" i="5"/>
  <c r="U135" i="11"/>
  <c r="Q144" i="6"/>
  <c r="T122" i="11"/>
  <c r="U137" i="9"/>
  <c r="Q78" i="10"/>
  <c r="Q135" i="12"/>
  <c r="R31" i="9"/>
  <c r="Q34" i="12"/>
  <c r="S47" i="12"/>
  <c r="V90" i="10"/>
  <c r="S91" i="12"/>
  <c r="Q72" i="9"/>
  <c r="T27" i="6"/>
  <c r="R110" i="10"/>
  <c r="S74" i="12"/>
  <c r="D51" i="6"/>
  <c r="T42" i="9"/>
  <c r="D16" i="10"/>
  <c r="V53" i="4"/>
  <c r="R50" i="10"/>
  <c r="D48" i="8"/>
  <c r="V134" i="12"/>
  <c r="S81" i="8"/>
  <c r="R103" i="9"/>
  <c r="S93" i="12"/>
  <c r="Q72" i="6"/>
  <c r="V93" i="4"/>
  <c r="R120" i="5"/>
  <c r="Q82" i="7"/>
  <c r="V125" i="7"/>
  <c r="R73" i="10"/>
  <c r="T127" i="12"/>
  <c r="V150" i="12"/>
  <c r="Q60" i="6"/>
  <c r="Q54" i="11"/>
  <c r="S92" i="5"/>
  <c r="V78" i="9"/>
  <c r="S78" i="7"/>
  <c r="T141" i="10"/>
  <c r="S48" i="10"/>
  <c r="T52" i="10"/>
  <c r="V148" i="7"/>
  <c r="Q149" i="11"/>
  <c r="T59" i="10"/>
  <c r="S60" i="12"/>
  <c r="Q149" i="12"/>
  <c r="Q120" i="11"/>
  <c r="Q26" i="6"/>
  <c r="D21" i="12"/>
  <c r="S73" i="12"/>
  <c r="R89" i="11"/>
  <c r="S43" i="9"/>
  <c r="Q124" i="8"/>
  <c r="V136" i="3"/>
  <c r="V58" i="6"/>
  <c r="Q60" i="10"/>
  <c r="U127" i="10"/>
  <c r="V55" i="8"/>
  <c r="T9" i="8"/>
  <c r="Q82" i="3"/>
  <c r="Q124" i="5"/>
  <c r="U89" i="5"/>
  <c r="U130" i="9"/>
  <c r="G48" i="6"/>
  <c r="U111" i="12"/>
  <c r="Q92" i="10"/>
  <c r="U53" i="12"/>
  <c r="T53" i="4"/>
  <c r="V31" i="3"/>
  <c r="F12" i="4"/>
  <c r="R110" i="11"/>
  <c r="Q58" i="9"/>
  <c r="S145" i="3"/>
  <c r="S130" i="11"/>
  <c r="T118" i="4"/>
  <c r="V58" i="9"/>
  <c r="S77" i="10"/>
  <c r="E46" i="4"/>
  <c r="S122" i="11"/>
  <c r="Q26" i="8"/>
  <c r="Q52" i="12"/>
  <c r="T71" i="7"/>
  <c r="S82" i="11"/>
  <c r="T76" i="8"/>
  <c r="S93" i="9"/>
  <c r="Q32" i="5"/>
  <c r="S67" i="4"/>
  <c r="Q100" i="5"/>
  <c r="T21" i="5"/>
  <c r="D36" i="5"/>
  <c r="T58" i="7"/>
  <c r="V19" i="10"/>
  <c r="S51" i="11"/>
  <c r="C63" i="11"/>
  <c r="T33" i="7"/>
  <c r="Q137" i="3"/>
  <c r="S111" i="10"/>
  <c r="V51" i="4"/>
  <c r="E32" i="3"/>
  <c r="S41" i="6"/>
  <c r="B36" i="3"/>
  <c r="U95" i="8"/>
  <c r="T43" i="12"/>
  <c r="D31" i="8"/>
  <c r="R119" i="8"/>
  <c r="D9" i="7"/>
  <c r="T80" i="12"/>
  <c r="T74" i="4"/>
  <c r="U37" i="11"/>
  <c r="Q13" i="12"/>
  <c r="T23" i="10"/>
  <c r="T10" i="11"/>
  <c r="S66" i="4"/>
  <c r="V146" i="10"/>
  <c r="T81" i="11"/>
  <c r="Q44" i="5"/>
  <c r="S41" i="11"/>
  <c r="R132" i="6"/>
  <c r="T84" i="8"/>
  <c r="Q131" i="5"/>
  <c r="R47" i="6"/>
  <c r="U117" i="8"/>
  <c r="R96" i="7"/>
  <c r="U101" i="12"/>
  <c r="V67" i="12"/>
  <c r="S108" i="12"/>
  <c r="R25" i="3"/>
  <c r="S148" i="8"/>
  <c r="U108" i="10"/>
  <c r="R44" i="12"/>
  <c r="F46" i="11"/>
  <c r="V79" i="10"/>
  <c r="R37" i="4"/>
  <c r="V117" i="10"/>
  <c r="U71" i="7"/>
  <c r="T72" i="9"/>
  <c r="U80" i="12"/>
  <c r="U65" i="12"/>
  <c r="U78" i="6"/>
  <c r="U103" i="3"/>
  <c r="F28" i="7"/>
  <c r="R114" i="6"/>
  <c r="T62" i="3"/>
  <c r="T15" i="6"/>
  <c r="Q73" i="7"/>
  <c r="R60" i="6"/>
  <c r="Q43" i="8"/>
  <c r="V5" i="3"/>
  <c r="D47" i="10"/>
  <c r="S106" i="3"/>
  <c r="D18" i="7"/>
  <c r="Q49" i="8"/>
  <c r="U42" i="5"/>
  <c r="D35" i="4"/>
  <c r="Q90" i="7"/>
  <c r="R138" i="4"/>
  <c r="U51" i="12"/>
  <c r="Q117" i="9"/>
  <c r="C63" i="4"/>
  <c r="S36" i="7"/>
  <c r="Q36" i="10"/>
  <c r="U110" i="11"/>
  <c r="S13" i="9"/>
  <c r="Q51" i="12"/>
  <c r="R132" i="8"/>
  <c r="F57" i="7"/>
  <c r="V6" i="11"/>
  <c r="T81" i="7"/>
  <c r="U70" i="12"/>
  <c r="Q141" i="9"/>
  <c r="R17" i="11"/>
  <c r="G6" i="4"/>
  <c r="T141" i="11"/>
  <c r="U87" i="8"/>
  <c r="Q70" i="3"/>
  <c r="S149" i="6"/>
  <c r="U139" i="9"/>
  <c r="Q83" i="3"/>
  <c r="Q63" i="6"/>
  <c r="U99" i="10"/>
  <c r="T128" i="9"/>
  <c r="Q67" i="10"/>
  <c r="S91" i="7"/>
  <c r="S69" i="10"/>
  <c r="V70" i="10"/>
  <c r="U149" i="3"/>
  <c r="Q84" i="8"/>
  <c r="T132" i="11"/>
  <c r="D61" i="5"/>
  <c r="B17" i="7"/>
  <c r="R60" i="11"/>
  <c r="Q7" i="3"/>
  <c r="Q81" i="5"/>
  <c r="T75" i="3"/>
  <c r="T38" i="9"/>
  <c r="T67" i="9"/>
  <c r="C9" i="10"/>
  <c r="Q25" i="8"/>
  <c r="U97" i="7"/>
  <c r="S33" i="11"/>
  <c r="T63" i="8"/>
  <c r="U113" i="11"/>
  <c r="T58" i="9"/>
  <c r="Q149" i="7"/>
  <c r="C63" i="9"/>
  <c r="T71" i="8"/>
  <c r="Q71" i="6"/>
  <c r="S8" i="8"/>
  <c r="U115" i="3"/>
  <c r="Q48" i="12"/>
  <c r="V147" i="6"/>
  <c r="R142" i="8"/>
  <c r="E12" i="8"/>
  <c r="S107" i="9"/>
  <c r="G16" i="9"/>
  <c r="F50" i="11"/>
  <c r="C38" i="9"/>
  <c r="U43" i="4"/>
  <c r="D28" i="7"/>
  <c r="D56" i="4"/>
  <c r="Q55" i="11"/>
  <c r="V109" i="12"/>
  <c r="Q36" i="9"/>
  <c r="R91" i="3"/>
  <c r="U58" i="12"/>
  <c r="S102" i="11"/>
  <c r="S136" i="4"/>
  <c r="T90" i="6"/>
  <c r="S150" i="9"/>
  <c r="T84" i="9"/>
  <c r="S36" i="5"/>
  <c r="T41" i="4"/>
  <c r="R95" i="4"/>
  <c r="T75" i="12"/>
  <c r="S35" i="8"/>
  <c r="R82" i="12"/>
  <c r="V146" i="12"/>
  <c r="S129" i="12"/>
  <c r="R91" i="7"/>
  <c r="D36" i="12"/>
  <c r="R96" i="12"/>
  <c r="Q126" i="6"/>
  <c r="T115" i="5"/>
  <c r="G40" i="3"/>
  <c r="R75" i="8"/>
  <c r="V124" i="11"/>
  <c r="Q134" i="6"/>
  <c r="V114" i="9"/>
  <c r="B34" i="3"/>
  <c r="U32" i="8"/>
  <c r="U114" i="12"/>
  <c r="V66" i="9"/>
  <c r="Q35" i="12"/>
  <c r="S102" i="4"/>
  <c r="S109" i="12"/>
  <c r="Q86" i="5"/>
  <c r="R91" i="8"/>
  <c r="V54" i="4"/>
  <c r="R79" i="7"/>
  <c r="S124" i="12"/>
  <c r="V44" i="5"/>
  <c r="V132" i="5"/>
  <c r="Q97" i="8"/>
  <c r="T81" i="4"/>
  <c r="Q102" i="7"/>
  <c r="T54" i="5"/>
  <c r="T66" i="4"/>
  <c r="S105" i="11"/>
  <c r="V112" i="11"/>
  <c r="V147" i="8"/>
  <c r="S146" i="11"/>
  <c r="F55" i="4"/>
  <c r="V19" i="4"/>
  <c r="U131" i="10"/>
  <c r="U16" i="6"/>
  <c r="T44" i="6"/>
  <c r="U111" i="3"/>
  <c r="V10" i="12"/>
  <c r="V132" i="11"/>
  <c r="B63" i="8"/>
  <c r="R117" i="10"/>
  <c r="F61" i="12"/>
  <c r="T71" i="12"/>
  <c r="B61" i="3"/>
  <c r="T149" i="9"/>
  <c r="S117" i="4"/>
  <c r="U143" i="6"/>
  <c r="T59" i="11"/>
  <c r="R60" i="12"/>
  <c r="Q146" i="8"/>
  <c r="U48" i="10"/>
  <c r="T52" i="6"/>
  <c r="Q106" i="3"/>
  <c r="R81" i="11"/>
  <c r="U52" i="9"/>
  <c r="V148" i="3"/>
  <c r="U11" i="6"/>
  <c r="S109" i="9"/>
  <c r="U68" i="11"/>
  <c r="B24" i="10"/>
  <c r="R32" i="9"/>
  <c r="E45" i="8"/>
  <c r="V132" i="10"/>
  <c r="U3" i="3"/>
  <c r="Q91" i="11"/>
  <c r="Q37" i="12"/>
  <c r="U88" i="8"/>
  <c r="R97" i="11"/>
  <c r="S87" i="9"/>
  <c r="R56" i="4"/>
  <c r="U54" i="7"/>
  <c r="S112" i="8"/>
  <c r="Q33" i="10"/>
  <c r="T59" i="12"/>
  <c r="Q132" i="8"/>
  <c r="R76" i="9"/>
  <c r="R52" i="7"/>
  <c r="T109" i="8"/>
  <c r="R84" i="9"/>
  <c r="U54" i="12"/>
  <c r="Q148" i="3"/>
  <c r="U129" i="9"/>
  <c r="S83" i="11"/>
  <c r="S149" i="10"/>
  <c r="Q17" i="10"/>
  <c r="S139" i="5"/>
  <c r="S100" i="11"/>
  <c r="T40" i="10"/>
  <c r="U59" i="12"/>
  <c r="F45" i="4"/>
  <c r="S33" i="9"/>
  <c r="Q139" i="11"/>
  <c r="F54" i="5"/>
  <c r="S108" i="7"/>
  <c r="T42" i="5"/>
  <c r="V63" i="8"/>
  <c r="R137" i="7"/>
  <c r="E42" i="6"/>
  <c r="D59" i="9"/>
  <c r="T150" i="10"/>
  <c r="S84" i="12"/>
  <c r="S83" i="4"/>
  <c r="F4" i="9"/>
  <c r="T85" i="12"/>
  <c r="S112" i="3"/>
  <c r="R68" i="12"/>
  <c r="V107" i="12"/>
  <c r="S57" i="9"/>
  <c r="U22" i="3"/>
  <c r="Q93" i="12"/>
  <c r="U67" i="6"/>
  <c r="D6" i="9"/>
  <c r="T88" i="10"/>
  <c r="G3" i="7"/>
  <c r="T106" i="5"/>
  <c r="U141" i="11"/>
  <c r="V72" i="10"/>
  <c r="Q67" i="7"/>
  <c r="D23" i="4"/>
  <c r="V71" i="8"/>
  <c r="D52" i="9"/>
  <c r="Q141" i="8"/>
  <c r="G42" i="11"/>
  <c r="G47" i="11"/>
  <c r="R75" i="10"/>
  <c r="T114" i="10"/>
  <c r="E44" i="6"/>
  <c r="S17" i="10"/>
  <c r="U146" i="9"/>
  <c r="G58" i="3"/>
  <c r="T71" i="9"/>
  <c r="V136" i="7"/>
  <c r="F52" i="8"/>
  <c r="V33" i="8"/>
  <c r="S130" i="7"/>
  <c r="Q142" i="12"/>
  <c r="Q82" i="11"/>
  <c r="Q112" i="11"/>
  <c r="B59" i="3"/>
  <c r="E17" i="12"/>
  <c r="V140" i="11"/>
  <c r="F12" i="6"/>
  <c r="Q103" i="7"/>
  <c r="S78" i="3"/>
  <c r="T8" i="7"/>
  <c r="S98" i="12"/>
  <c r="U65" i="9"/>
  <c r="V45" i="7"/>
  <c r="E11" i="4"/>
  <c r="U61" i="3"/>
  <c r="Q112" i="5"/>
  <c r="S110" i="7"/>
  <c r="S150" i="11"/>
  <c r="V119" i="11"/>
  <c r="R137" i="5"/>
  <c r="Q138" i="11"/>
  <c r="F47" i="10"/>
  <c r="S47" i="3"/>
  <c r="U32" i="12"/>
  <c r="R48" i="11"/>
  <c r="U33" i="7"/>
  <c r="T146" i="7"/>
  <c r="B63" i="12"/>
  <c r="V22" i="8"/>
  <c r="V122" i="7"/>
  <c r="T99" i="12"/>
  <c r="Q72" i="5"/>
  <c r="R69" i="3"/>
  <c r="R83" i="10"/>
  <c r="Q11" i="10"/>
  <c r="Q41" i="9"/>
  <c r="U17" i="3"/>
  <c r="R109" i="5"/>
  <c r="S72" i="11"/>
  <c r="T62" i="4"/>
  <c r="V20" i="9"/>
  <c r="U55" i="8"/>
  <c r="D50" i="9"/>
  <c r="Q104" i="12"/>
  <c r="R115" i="10"/>
  <c r="V74" i="7"/>
  <c r="B57" i="7"/>
  <c r="V131" i="8"/>
  <c r="U92" i="10"/>
  <c r="U35" i="8"/>
  <c r="Q96" i="12"/>
  <c r="U17" i="4"/>
  <c r="S104" i="9"/>
  <c r="U140" i="9"/>
  <c r="U57" i="8"/>
  <c r="V53" i="6"/>
  <c r="S111" i="4"/>
  <c r="U38" i="7"/>
  <c r="V112" i="8"/>
  <c r="T141" i="12"/>
  <c r="S91" i="11"/>
  <c r="S63" i="12"/>
  <c r="U147" i="10"/>
  <c r="R55" i="11"/>
  <c r="T106" i="12"/>
  <c r="U113" i="12"/>
  <c r="C18" i="9"/>
  <c r="S51" i="10"/>
  <c r="V55" i="10"/>
  <c r="S143" i="9"/>
  <c r="Q91" i="8"/>
  <c r="U116" i="4"/>
  <c r="V150" i="3"/>
  <c r="Q93" i="7"/>
  <c r="V79" i="8"/>
  <c r="R103" i="11"/>
  <c r="R148" i="12"/>
  <c r="D15" i="7"/>
  <c r="V82" i="9"/>
  <c r="U109" i="6"/>
  <c r="T79" i="11"/>
  <c r="U83" i="12"/>
  <c r="F39" i="9"/>
  <c r="T92" i="7"/>
  <c r="Q41" i="8"/>
  <c r="Q141" i="12"/>
  <c r="S85" i="11"/>
  <c r="V140" i="6"/>
  <c r="R68" i="11"/>
  <c r="U66" i="6"/>
  <c r="S78" i="11"/>
  <c r="V95" i="6"/>
  <c r="S38" i="9"/>
  <c r="S75" i="12"/>
  <c r="U55" i="3"/>
  <c r="V126" i="8"/>
  <c r="U34" i="10"/>
  <c r="R150" i="6"/>
  <c r="T100" i="5"/>
  <c r="U71" i="11"/>
  <c r="S38" i="11"/>
  <c r="U33" i="11"/>
  <c r="C20" i="5"/>
  <c r="U143" i="12"/>
  <c r="S100" i="10"/>
  <c r="S82" i="7"/>
  <c r="U67" i="12"/>
  <c r="V138" i="10"/>
  <c r="Q128" i="12"/>
  <c r="U42" i="6"/>
  <c r="S112" i="9"/>
  <c r="U125" i="7"/>
  <c r="T19" i="3"/>
  <c r="S73" i="11"/>
  <c r="S38" i="4"/>
  <c r="S144" i="6"/>
  <c r="V49" i="5"/>
  <c r="Q59" i="5"/>
  <c r="V57" i="11"/>
  <c r="V133" i="3"/>
  <c r="Q103" i="4"/>
  <c r="T76" i="7"/>
  <c r="V114" i="5"/>
  <c r="Q103" i="3"/>
  <c r="V79" i="11"/>
  <c r="Q127" i="9"/>
  <c r="S143" i="6"/>
  <c r="Q57" i="12"/>
  <c r="G25" i="7"/>
  <c r="F61" i="11"/>
  <c r="S59" i="10"/>
  <c r="U131" i="11"/>
  <c r="Q40" i="9"/>
  <c r="R108" i="7"/>
  <c r="V30" i="8"/>
  <c r="U73" i="12"/>
  <c r="V76" i="6"/>
  <c r="S111" i="9"/>
  <c r="U88" i="6"/>
  <c r="U123" i="8"/>
  <c r="Q99" i="11"/>
  <c r="V61" i="3"/>
  <c r="E33" i="10"/>
  <c r="U138" i="12"/>
  <c r="R25" i="8"/>
  <c r="Q50" i="6"/>
  <c r="U139" i="4"/>
  <c r="U76" i="3"/>
  <c r="R37" i="10"/>
  <c r="S137" i="4"/>
  <c r="S66" i="12"/>
  <c r="U134" i="5"/>
  <c r="R67" i="3"/>
  <c r="Q32" i="12"/>
  <c r="U25" i="12"/>
  <c r="V6" i="8"/>
  <c r="U89" i="12"/>
  <c r="F59" i="4"/>
  <c r="Q46" i="9"/>
  <c r="R71" i="12"/>
  <c r="T17" i="6"/>
  <c r="B24" i="4"/>
  <c r="U136" i="11"/>
  <c r="Q50" i="5"/>
  <c r="S105" i="10"/>
  <c r="R46" i="3"/>
  <c r="E45" i="3"/>
  <c r="U134" i="11"/>
  <c r="V72" i="3"/>
  <c r="S92" i="8"/>
  <c r="R140" i="4"/>
  <c r="Q62" i="3"/>
  <c r="V133" i="12"/>
  <c r="R71" i="11"/>
  <c r="T134" i="10"/>
  <c r="C52" i="5"/>
  <c r="T41" i="9"/>
  <c r="U125" i="9"/>
  <c r="Q39" i="9"/>
  <c r="T46" i="11"/>
  <c r="Q51" i="3"/>
  <c r="R72" i="10"/>
  <c r="E33" i="5"/>
  <c r="T140" i="8"/>
  <c r="U122" i="12"/>
  <c r="V91" i="12"/>
  <c r="Q30" i="7"/>
  <c r="U149" i="5"/>
  <c r="S93" i="3"/>
  <c r="Q138" i="4"/>
  <c r="T50" i="7"/>
  <c r="U110" i="9"/>
  <c r="F18" i="3"/>
  <c r="R91" i="9"/>
  <c r="U98" i="8"/>
  <c r="C21" i="8"/>
  <c r="F59" i="7"/>
  <c r="Q6" i="6"/>
  <c r="Q38" i="4"/>
  <c r="R47" i="12"/>
  <c r="R34" i="10"/>
  <c r="R107" i="3"/>
  <c r="V122" i="3"/>
  <c r="Q53" i="9"/>
  <c r="U43" i="6"/>
  <c r="Q59" i="10"/>
  <c r="R46" i="6"/>
  <c r="Q105" i="10"/>
  <c r="S102" i="10"/>
  <c r="Q83" i="12"/>
  <c r="B3" i="12"/>
  <c r="G12" i="9"/>
  <c r="G53" i="11"/>
  <c r="D48" i="9"/>
  <c r="V113" i="12"/>
  <c r="G47" i="8"/>
  <c r="Q20" i="4"/>
  <c r="G33" i="10"/>
  <c r="R120" i="9"/>
  <c r="U105" i="7"/>
  <c r="Q99" i="7"/>
  <c r="S142" i="5"/>
  <c r="Q63" i="3"/>
  <c r="V106" i="7"/>
  <c r="V75" i="7"/>
  <c r="Q100" i="4"/>
  <c r="U41" i="12"/>
  <c r="S114" i="10"/>
  <c r="C10" i="3"/>
  <c r="U50" i="9"/>
  <c r="U134" i="12"/>
  <c r="S13" i="7"/>
  <c r="S133" i="6"/>
  <c r="R42" i="4"/>
  <c r="V146" i="11"/>
  <c r="S148" i="9"/>
  <c r="Q64" i="10"/>
  <c r="V149" i="12"/>
  <c r="S103" i="3"/>
  <c r="Q93" i="10"/>
  <c r="R30" i="7"/>
  <c r="V82" i="12"/>
  <c r="S147" i="6"/>
  <c r="T81" i="3"/>
  <c r="U72" i="9"/>
  <c r="S49" i="4"/>
  <c r="S147" i="9"/>
  <c r="V103" i="9"/>
  <c r="S98" i="10"/>
  <c r="U148" i="9"/>
  <c r="T34" i="12"/>
  <c r="T65" i="6"/>
  <c r="R6" i="3"/>
  <c r="S66" i="10"/>
  <c r="V103" i="5"/>
  <c r="U91" i="10"/>
  <c r="V116" i="5"/>
  <c r="U87" i="4"/>
  <c r="S41" i="7"/>
  <c r="U101" i="3"/>
  <c r="Q148" i="5"/>
  <c r="D32" i="8"/>
  <c r="S148" i="3"/>
  <c r="D32" i="12"/>
  <c r="U75" i="4"/>
  <c r="B51" i="11"/>
  <c r="D49" i="10"/>
  <c r="R87" i="12"/>
  <c r="U107" i="4"/>
  <c r="U59" i="9"/>
  <c r="R65" i="12"/>
  <c r="S62" i="9"/>
  <c r="Q121" i="5"/>
  <c r="B44" i="6"/>
  <c r="V25" i="6"/>
  <c r="Q32" i="8"/>
  <c r="R87" i="7"/>
  <c r="S47" i="10"/>
  <c r="S105" i="6"/>
  <c r="S37" i="10"/>
  <c r="V125" i="12"/>
  <c r="V46" i="12"/>
  <c r="S59" i="11"/>
  <c r="E12" i="10"/>
  <c r="D43" i="12"/>
  <c r="S64" i="9"/>
  <c r="V85" i="3"/>
  <c r="U133" i="8"/>
  <c r="E50" i="8"/>
  <c r="T113" i="11"/>
  <c r="S132" i="12"/>
  <c r="T96" i="12"/>
  <c r="U36" i="12"/>
  <c r="R125" i="6"/>
  <c r="Q92" i="12"/>
  <c r="Q86" i="8"/>
  <c r="Q85" i="9"/>
  <c r="G55" i="3"/>
  <c r="T74" i="7"/>
  <c r="R147" i="9"/>
  <c r="Q66" i="8"/>
  <c r="R143" i="3"/>
  <c r="U103" i="11"/>
  <c r="T45" i="5"/>
  <c r="T87" i="11"/>
  <c r="C5" i="8"/>
  <c r="R98" i="8"/>
  <c r="S42" i="12"/>
  <c r="U48" i="7"/>
  <c r="Q44" i="3"/>
  <c r="U125" i="8"/>
  <c r="R11" i="10"/>
  <c r="E30" i="4"/>
  <c r="R147" i="11"/>
  <c r="S92" i="12"/>
  <c r="U36" i="8"/>
  <c r="T76" i="12"/>
  <c r="U51" i="11"/>
  <c r="Q147" i="6"/>
  <c r="S120" i="4"/>
  <c r="T82" i="9"/>
  <c r="T27" i="9"/>
  <c r="V124" i="5"/>
  <c r="V8" i="11"/>
  <c r="D14" i="7"/>
  <c r="T89" i="4"/>
  <c r="U7" i="6"/>
  <c r="U24" i="4"/>
  <c r="T101" i="9"/>
  <c r="S80" i="9"/>
  <c r="T3" i="5"/>
  <c r="S95" i="11"/>
  <c r="T81" i="12"/>
  <c r="R19" i="11"/>
  <c r="Q43" i="10"/>
  <c r="V145" i="3"/>
  <c r="E60" i="3"/>
  <c r="Q129" i="11"/>
  <c r="V98" i="11"/>
  <c r="D63" i="5"/>
  <c r="T47" i="6"/>
  <c r="U3" i="10"/>
  <c r="U20" i="10"/>
  <c r="R150" i="3"/>
  <c r="R50" i="12"/>
  <c r="V73" i="10"/>
  <c r="R130" i="11"/>
  <c r="B53" i="11"/>
  <c r="S32" i="11"/>
  <c r="Q130" i="9"/>
  <c r="V91" i="4"/>
  <c r="T148" i="11"/>
  <c r="R150" i="4"/>
  <c r="T40" i="9"/>
  <c r="Q75" i="10"/>
  <c r="V26" i="9"/>
  <c r="D10" i="5"/>
  <c r="R74" i="7"/>
  <c r="Q133" i="3"/>
  <c r="F11" i="12"/>
  <c r="V88" i="12"/>
  <c r="V122" i="9"/>
  <c r="U52" i="5"/>
  <c r="R108" i="8"/>
  <c r="F61" i="5"/>
  <c r="U84" i="3"/>
  <c r="R41" i="3"/>
  <c r="R38" i="10"/>
  <c r="B21" i="5"/>
  <c r="S73" i="6"/>
  <c r="R99" i="7"/>
  <c r="T103" i="3"/>
  <c r="V123" i="12"/>
  <c r="T23" i="12"/>
  <c r="C40" i="3"/>
  <c r="B27" i="6"/>
  <c r="R149" i="6"/>
  <c r="V93" i="8"/>
  <c r="U19" i="5"/>
  <c r="C18" i="3"/>
  <c r="Q124" i="4"/>
  <c r="R43" i="8"/>
  <c r="R18" i="10"/>
  <c r="D46" i="10"/>
  <c r="T139" i="11"/>
  <c r="Q91" i="10"/>
  <c r="Q115" i="4"/>
  <c r="B32" i="5"/>
  <c r="F10" i="4"/>
  <c r="S63" i="3"/>
  <c r="S66" i="7"/>
  <c r="R26" i="7"/>
  <c r="U147" i="9"/>
  <c r="U47" i="10"/>
  <c r="T94" i="4"/>
  <c r="R150" i="9"/>
  <c r="B17" i="8"/>
  <c r="R105" i="8"/>
  <c r="G42" i="7"/>
  <c r="S86" i="11"/>
  <c r="S107" i="4"/>
  <c r="D50" i="3"/>
  <c r="V126" i="12"/>
  <c r="C40" i="11"/>
  <c r="U90" i="12"/>
  <c r="T135" i="12"/>
  <c r="E29" i="9"/>
  <c r="V115" i="11"/>
  <c r="G3" i="10"/>
  <c r="G14" i="7"/>
  <c r="T87" i="12"/>
  <c r="G62" i="12"/>
  <c r="R105" i="10"/>
  <c r="E46" i="6"/>
  <c r="F55" i="6"/>
  <c r="R113" i="12"/>
  <c r="F15" i="3"/>
  <c r="S65" i="12"/>
  <c r="V55" i="12"/>
  <c r="T140" i="3"/>
  <c r="Q122" i="12"/>
  <c r="U30" i="4"/>
  <c r="V148" i="11"/>
  <c r="Q83" i="8"/>
  <c r="U69" i="12"/>
  <c r="Q32" i="9"/>
  <c r="Q144" i="11"/>
  <c r="T101" i="11"/>
  <c r="B45" i="12"/>
  <c r="U141" i="4"/>
  <c r="S122" i="5"/>
  <c r="G39" i="6"/>
  <c r="Q86" i="7"/>
  <c r="R64" i="3"/>
  <c r="G62" i="5"/>
  <c r="Q56" i="4"/>
  <c r="T54" i="11"/>
  <c r="V109" i="7"/>
  <c r="Q54" i="12"/>
  <c r="F26" i="11"/>
  <c r="S45" i="7"/>
  <c r="S72" i="9"/>
  <c r="R122" i="11"/>
  <c r="S34" i="12"/>
  <c r="V150" i="7"/>
  <c r="T104" i="10"/>
  <c r="T126" i="9"/>
  <c r="Q64" i="11"/>
  <c r="T79" i="12"/>
  <c r="E4" i="8"/>
  <c r="F49" i="9"/>
  <c r="R136" i="12"/>
  <c r="V81" i="3"/>
  <c r="Q77" i="11"/>
  <c r="U44" i="12"/>
  <c r="D61" i="12"/>
  <c r="Q14" i="3"/>
  <c r="U38" i="12"/>
  <c r="R89" i="7"/>
  <c r="S145" i="12"/>
  <c r="U119" i="12"/>
  <c r="U69" i="7"/>
  <c r="U134" i="8"/>
  <c r="S146" i="5"/>
  <c r="V139" i="6"/>
  <c r="V95" i="9"/>
  <c r="D56" i="8"/>
  <c r="T119" i="7"/>
  <c r="T37" i="10"/>
  <c r="R93" i="12"/>
  <c r="S89" i="3"/>
  <c r="U37" i="7"/>
  <c r="D38" i="10"/>
  <c r="V138" i="7"/>
  <c r="Q59" i="12"/>
  <c r="G62" i="9"/>
  <c r="T8" i="3"/>
  <c r="V64" i="3"/>
  <c r="V20" i="7"/>
  <c r="F10" i="9"/>
  <c r="R40" i="11"/>
  <c r="U86" i="4"/>
  <c r="V18" i="3"/>
  <c r="V73" i="6"/>
  <c r="S96" i="3"/>
  <c r="C15" i="5"/>
  <c r="E9" i="12"/>
  <c r="E60" i="6"/>
  <c r="S89" i="6"/>
  <c r="S53" i="7"/>
  <c r="Q119" i="5"/>
  <c r="V128" i="10"/>
  <c r="S89" i="10"/>
  <c r="R47" i="7"/>
  <c r="U103" i="4"/>
  <c r="D3" i="9"/>
  <c r="E49" i="4"/>
  <c r="R110" i="12"/>
  <c r="Q140" i="10"/>
  <c r="T66" i="9"/>
  <c r="D3" i="10"/>
  <c r="R67" i="6"/>
  <c r="B49" i="4"/>
  <c r="S35" i="5"/>
  <c r="S112" i="10"/>
  <c r="Q116" i="10"/>
  <c r="F16" i="8"/>
  <c r="G42" i="4"/>
  <c r="R13" i="12"/>
  <c r="G13" i="8"/>
  <c r="R121" i="8"/>
  <c r="G17" i="12"/>
  <c r="D18" i="3"/>
  <c r="T117" i="6"/>
  <c r="R141" i="4"/>
  <c r="S15" i="5"/>
  <c r="Q67" i="6"/>
  <c r="V30" i="11"/>
  <c r="R12" i="8"/>
  <c r="R27" i="12"/>
  <c r="U35" i="11"/>
  <c r="E24" i="8"/>
  <c r="V19" i="12"/>
  <c r="T96" i="10"/>
  <c r="R16" i="11"/>
  <c r="B17" i="5"/>
  <c r="Q124" i="7"/>
  <c r="Q95" i="12"/>
  <c r="T48" i="4"/>
  <c r="T122" i="10"/>
  <c r="V76" i="7"/>
  <c r="G14" i="9"/>
  <c r="T124" i="3"/>
  <c r="U57" i="6"/>
  <c r="V78" i="6"/>
  <c r="V139" i="10"/>
  <c r="U64" i="12"/>
  <c r="S43" i="12"/>
  <c r="G34" i="11"/>
  <c r="Q51" i="8"/>
  <c r="T138" i="7"/>
  <c r="T35" i="12"/>
  <c r="E53" i="8"/>
  <c r="D45" i="12"/>
  <c r="G59" i="5"/>
  <c r="V68" i="8"/>
  <c r="Q102" i="10"/>
  <c r="C36" i="10"/>
  <c r="S45" i="6"/>
  <c r="V46" i="10"/>
  <c r="G20" i="9"/>
  <c r="Q124" i="12"/>
  <c r="U126" i="8"/>
  <c r="V88" i="9"/>
  <c r="G13" i="6"/>
  <c r="R69" i="7"/>
  <c r="Q116" i="12"/>
  <c r="F27" i="9"/>
  <c r="S31" i="6"/>
  <c r="U99" i="7"/>
  <c r="V84" i="6"/>
  <c r="T55" i="5"/>
  <c r="S36" i="10"/>
  <c r="T53" i="7"/>
  <c r="U126" i="12"/>
  <c r="F49" i="10"/>
  <c r="S124" i="7"/>
  <c r="V136" i="9"/>
  <c r="G56" i="8"/>
  <c r="V128" i="6"/>
  <c r="D51" i="3"/>
  <c r="E6" i="10"/>
  <c r="Q77" i="6"/>
  <c r="V95" i="7"/>
  <c r="E16" i="7"/>
  <c r="V42" i="10"/>
  <c r="V111" i="9"/>
  <c r="S42" i="10"/>
  <c r="R98" i="4"/>
  <c r="G44" i="12"/>
  <c r="F56" i="4"/>
  <c r="F24" i="11"/>
  <c r="T61" i="10"/>
  <c r="E4" i="3"/>
  <c r="D55" i="4"/>
  <c r="T97" i="3"/>
  <c r="V142" i="7"/>
  <c r="T136" i="6"/>
  <c r="T45" i="11"/>
  <c r="U67" i="10"/>
  <c r="Q146" i="5"/>
  <c r="G22" i="12"/>
  <c r="S80" i="6"/>
  <c r="S117" i="10"/>
  <c r="V150" i="10"/>
  <c r="Q85" i="7"/>
  <c r="V106" i="11"/>
  <c r="S99" i="11"/>
  <c r="G46" i="11"/>
  <c r="Q37" i="11"/>
  <c r="T130" i="9"/>
  <c r="S128" i="6"/>
  <c r="U77" i="6"/>
  <c r="U8" i="5"/>
  <c r="Q80" i="12"/>
  <c r="G32" i="5"/>
  <c r="S32" i="4"/>
  <c r="F28" i="9"/>
  <c r="T102" i="11"/>
  <c r="B34" i="10"/>
  <c r="C47" i="9"/>
  <c r="R80" i="3"/>
  <c r="G28" i="5"/>
  <c r="R130" i="7"/>
  <c r="V54" i="9"/>
  <c r="U83" i="5"/>
  <c r="B62" i="6"/>
  <c r="G60" i="6"/>
  <c r="S91" i="10"/>
  <c r="T6" i="3"/>
  <c r="C35" i="4"/>
  <c r="U105" i="12"/>
  <c r="R84" i="11"/>
  <c r="U50" i="10"/>
  <c r="U63" i="3"/>
  <c r="Q62" i="7"/>
  <c r="T71" i="5"/>
  <c r="V131" i="4"/>
  <c r="V134" i="5"/>
  <c r="Q62" i="4"/>
  <c r="B24" i="7"/>
  <c r="V45" i="10"/>
  <c r="U56" i="7"/>
  <c r="V78" i="4"/>
  <c r="G60" i="9"/>
  <c r="Q88" i="11"/>
  <c r="T141" i="9"/>
  <c r="B42" i="4"/>
  <c r="U124" i="4"/>
  <c r="V104" i="6"/>
  <c r="R136" i="3"/>
  <c r="U132" i="10"/>
  <c r="T105" i="6"/>
  <c r="R144" i="11"/>
  <c r="B28" i="12"/>
  <c r="E16" i="6"/>
  <c r="G27" i="3"/>
  <c r="C48" i="7"/>
  <c r="V77" i="11"/>
  <c r="E12" i="5"/>
  <c r="Q106" i="12"/>
  <c r="F29" i="8"/>
  <c r="B14" i="12"/>
  <c r="U74" i="11"/>
  <c r="T118" i="12"/>
  <c r="V16" i="3"/>
  <c r="E41" i="10"/>
  <c r="C12" i="6"/>
  <c r="V136" i="6"/>
  <c r="S134" i="10"/>
  <c r="G33" i="4"/>
  <c r="R113" i="10"/>
  <c r="Q61" i="3"/>
  <c r="Q51" i="4"/>
  <c r="V44" i="4"/>
  <c r="U71" i="4"/>
  <c r="R9" i="5"/>
  <c r="F21" i="9"/>
  <c r="T131" i="5"/>
  <c r="V5" i="10"/>
  <c r="U43" i="11"/>
  <c r="R48" i="3"/>
  <c r="V3" i="5"/>
  <c r="R68" i="4"/>
  <c r="S66" i="5"/>
  <c r="C30" i="5"/>
  <c r="V44" i="10"/>
  <c r="Q142" i="11"/>
  <c r="S24" i="5"/>
  <c r="S46" i="5"/>
  <c r="U120" i="5"/>
  <c r="R100" i="9"/>
  <c r="G17" i="5"/>
  <c r="V97" i="12"/>
  <c r="S34" i="5"/>
  <c r="R124" i="3"/>
  <c r="C26" i="6"/>
  <c r="V55" i="3"/>
  <c r="D18" i="11"/>
  <c r="E7" i="12"/>
  <c r="R140" i="12"/>
  <c r="T102" i="6"/>
  <c r="R131" i="10"/>
  <c r="T77" i="9"/>
  <c r="S130" i="10"/>
  <c r="R11" i="3"/>
  <c r="R88" i="3"/>
  <c r="S52" i="5"/>
  <c r="T63" i="6"/>
  <c r="F4" i="6"/>
  <c r="S108" i="6"/>
  <c r="T99" i="7"/>
  <c r="Q120" i="3"/>
  <c r="S136" i="8"/>
  <c r="T143" i="12"/>
  <c r="E10" i="3"/>
  <c r="U101" i="5"/>
  <c r="B41" i="3"/>
  <c r="V130" i="9"/>
  <c r="Q102" i="6"/>
  <c r="Q136" i="4"/>
  <c r="B10" i="5"/>
  <c r="T83" i="8"/>
  <c r="R77" i="5"/>
  <c r="Q94" i="11"/>
  <c r="T60" i="10"/>
  <c r="V113" i="4"/>
  <c r="T40" i="7"/>
  <c r="U41" i="10"/>
  <c r="V35" i="6"/>
  <c r="S69" i="8"/>
  <c r="R96" i="6"/>
  <c r="Q47" i="11"/>
  <c r="V36" i="9"/>
  <c r="T121" i="4"/>
  <c r="E5" i="8"/>
  <c r="R27" i="7"/>
  <c r="S80" i="10"/>
  <c r="T150" i="4"/>
  <c r="C5" i="7"/>
  <c r="T26" i="11"/>
  <c r="S59" i="7"/>
  <c r="U44" i="11"/>
  <c r="D34" i="8"/>
  <c r="V121" i="9"/>
  <c r="V7" i="11"/>
  <c r="U138" i="5"/>
  <c r="R53" i="8"/>
  <c r="U93" i="8"/>
  <c r="S94" i="7"/>
  <c r="B55" i="7"/>
  <c r="Q52" i="8"/>
  <c r="R102" i="11"/>
  <c r="Q78" i="12"/>
  <c r="S13" i="11"/>
  <c r="Q131" i="12"/>
  <c r="S144" i="3"/>
  <c r="T71" i="11"/>
  <c r="T97" i="12"/>
  <c r="S145" i="11"/>
  <c r="U127" i="8"/>
  <c r="S73" i="8"/>
  <c r="T84" i="7"/>
  <c r="F31" i="5"/>
  <c r="S121" i="6"/>
  <c r="V84" i="5"/>
  <c r="V68" i="3"/>
  <c r="Q27" i="11"/>
  <c r="V110" i="4"/>
  <c r="U40" i="11"/>
  <c r="G36" i="9"/>
  <c r="F40" i="9"/>
  <c r="G37" i="11"/>
  <c r="E9" i="10"/>
  <c r="R62" i="10"/>
  <c r="B31" i="7"/>
  <c r="S145" i="7"/>
  <c r="E33" i="6"/>
  <c r="V135" i="4"/>
  <c r="R53" i="12"/>
  <c r="T6" i="5"/>
  <c r="V33" i="10"/>
  <c r="Q124" i="6"/>
  <c r="U66" i="8"/>
  <c r="S68" i="7"/>
  <c r="S13" i="6"/>
  <c r="G24" i="8"/>
  <c r="U19" i="11"/>
  <c r="G60" i="7"/>
  <c r="R67" i="11"/>
  <c r="T22" i="9"/>
  <c r="D12" i="4"/>
  <c r="F59" i="6"/>
  <c r="Q73" i="6"/>
  <c r="U85" i="12"/>
  <c r="U95" i="3"/>
  <c r="T30" i="10"/>
  <c r="S70" i="4"/>
  <c r="Q95" i="8"/>
  <c r="U32" i="9"/>
  <c r="R11" i="9"/>
  <c r="S118" i="8"/>
  <c r="U62" i="7"/>
  <c r="S139" i="10"/>
  <c r="T73" i="8"/>
  <c r="U69" i="10"/>
  <c r="S129" i="10"/>
  <c r="R85" i="12"/>
  <c r="T73" i="3"/>
  <c r="B22" i="10"/>
  <c r="E43" i="12"/>
  <c r="Q46" i="12"/>
  <c r="U32" i="10"/>
  <c r="Q54" i="5"/>
  <c r="C53" i="3"/>
  <c r="B35" i="7"/>
  <c r="C21" i="3"/>
  <c r="Q77" i="8"/>
  <c r="F44" i="7"/>
  <c r="R118" i="11"/>
  <c r="V99" i="9"/>
  <c r="C23" i="10"/>
  <c r="V125" i="6"/>
  <c r="Q79" i="9"/>
  <c r="Q100" i="11"/>
  <c r="D12" i="5"/>
  <c r="Q142" i="3"/>
  <c r="Q25" i="9"/>
  <c r="C48" i="3"/>
  <c r="S56" i="12"/>
  <c r="E10" i="7"/>
  <c r="T124" i="12"/>
  <c r="R125" i="8"/>
  <c r="S17" i="9"/>
  <c r="D7" i="7"/>
  <c r="F60" i="10"/>
  <c r="B18" i="10"/>
  <c r="U33" i="8"/>
  <c r="T37" i="6"/>
  <c r="V25" i="8"/>
  <c r="E40" i="9"/>
  <c r="V92" i="9"/>
  <c r="U68" i="12"/>
  <c r="Q73" i="12"/>
  <c r="Q20" i="7"/>
  <c r="C34" i="12"/>
  <c r="T52" i="8"/>
  <c r="V46" i="5"/>
  <c r="V92" i="7"/>
  <c r="C55" i="8"/>
  <c r="E9" i="9"/>
  <c r="T17" i="8"/>
  <c r="Q12" i="7"/>
  <c r="Q56" i="12"/>
  <c r="Q39" i="12"/>
  <c r="T136" i="12"/>
  <c r="U143" i="11"/>
  <c r="R10" i="4"/>
  <c r="Q38" i="3"/>
  <c r="E13" i="6"/>
  <c r="T116" i="5"/>
  <c r="T68" i="7"/>
  <c r="S72" i="12"/>
  <c r="B13" i="10"/>
  <c r="V106" i="6"/>
  <c r="R119" i="11"/>
  <c r="Q45" i="8"/>
  <c r="T117" i="8"/>
  <c r="T107" i="6"/>
  <c r="R57" i="7"/>
  <c r="V67" i="10"/>
  <c r="S38" i="5"/>
  <c r="D28" i="9"/>
  <c r="U129" i="6"/>
  <c r="T53" i="6"/>
  <c r="R32" i="3"/>
  <c r="U95" i="4"/>
  <c r="S105" i="4"/>
  <c r="V85" i="10"/>
  <c r="E11" i="7"/>
  <c r="U143" i="3"/>
  <c r="T123" i="8"/>
  <c r="U45" i="11"/>
  <c r="S31" i="10"/>
  <c r="R81" i="9"/>
  <c r="Q50" i="8"/>
  <c r="T78" i="9"/>
  <c r="V142" i="12"/>
  <c r="V70" i="11"/>
  <c r="V110" i="3"/>
  <c r="V34" i="8"/>
  <c r="T116" i="10"/>
  <c r="T115" i="3"/>
  <c r="B36" i="10"/>
  <c r="V87" i="10"/>
  <c r="Q27" i="6"/>
  <c r="G31" i="5"/>
  <c r="Q121" i="8"/>
  <c r="R113" i="6"/>
  <c r="G7" i="12"/>
  <c r="R18" i="3"/>
  <c r="S37" i="4"/>
  <c r="G60" i="8"/>
  <c r="T90" i="10"/>
  <c r="V59" i="7"/>
  <c r="V81" i="11"/>
  <c r="S113" i="12"/>
  <c r="V30" i="12"/>
  <c r="V55" i="5"/>
  <c r="T83" i="3"/>
  <c r="T72" i="8"/>
  <c r="T30" i="3"/>
  <c r="S83" i="7"/>
  <c r="C21" i="11"/>
  <c r="V48" i="10"/>
  <c r="C60" i="12"/>
  <c r="F10" i="7"/>
  <c r="T113" i="3"/>
  <c r="D14" i="4"/>
  <c r="Q80" i="4"/>
  <c r="F38" i="9"/>
  <c r="R40" i="12"/>
  <c r="R38" i="9"/>
  <c r="R130" i="10"/>
  <c r="F41" i="9"/>
  <c r="R74" i="5"/>
  <c r="S59" i="5"/>
  <c r="G50" i="12"/>
  <c r="Q107" i="9"/>
  <c r="S56" i="9"/>
  <c r="R121" i="7"/>
  <c r="E51" i="12"/>
  <c r="F15" i="7"/>
  <c r="Q114" i="9"/>
  <c r="Q70" i="10"/>
  <c r="V150" i="4"/>
  <c r="S12" i="12"/>
  <c r="V105" i="4"/>
  <c r="E11" i="5"/>
  <c r="T9" i="5"/>
  <c r="U39" i="10"/>
  <c r="C10" i="4"/>
  <c r="R94" i="10"/>
  <c r="E43" i="8"/>
  <c r="Q34" i="8"/>
  <c r="Q147" i="7"/>
  <c r="S31" i="8"/>
  <c r="R43" i="11"/>
  <c r="R79" i="3"/>
  <c r="B12" i="6"/>
  <c r="T107" i="3"/>
  <c r="Q81" i="10"/>
  <c r="S5" i="7"/>
  <c r="S80" i="7"/>
  <c r="R81" i="5"/>
  <c r="U45" i="3"/>
  <c r="G15" i="8"/>
  <c r="T79" i="6"/>
  <c r="C44" i="3"/>
  <c r="V117" i="5"/>
  <c r="S64" i="3"/>
  <c r="Q62" i="12"/>
  <c r="S100" i="8"/>
  <c r="Q147" i="3"/>
  <c r="R103" i="8"/>
  <c r="R99" i="10"/>
  <c r="Q65" i="3"/>
  <c r="V12" i="8"/>
  <c r="F29" i="10"/>
  <c r="S32" i="7"/>
  <c r="S66" i="8"/>
  <c r="D11" i="3"/>
  <c r="U30" i="5"/>
  <c r="Q141" i="4"/>
  <c r="T61" i="5"/>
  <c r="V86" i="3"/>
  <c r="R61" i="11"/>
  <c r="Q85" i="3"/>
  <c r="S91" i="4"/>
  <c r="G7" i="10"/>
  <c r="U140" i="7"/>
  <c r="U42" i="9"/>
  <c r="S54" i="3"/>
  <c r="U30" i="8"/>
  <c r="T108" i="6"/>
  <c r="E14" i="9"/>
  <c r="V8" i="5"/>
  <c r="B44" i="7"/>
  <c r="U92" i="6"/>
  <c r="S97" i="3"/>
  <c r="S87" i="12"/>
  <c r="U124" i="10"/>
  <c r="U144" i="8"/>
  <c r="Q121" i="4"/>
  <c r="B27" i="4"/>
  <c r="U130" i="4"/>
  <c r="C59" i="11"/>
  <c r="T21" i="9"/>
  <c r="B57" i="4"/>
  <c r="R88" i="10"/>
  <c r="R6" i="5"/>
  <c r="Q82" i="5"/>
  <c r="F45" i="5"/>
  <c r="Q65" i="7"/>
  <c r="Q114" i="10"/>
  <c r="V125" i="8"/>
  <c r="Q91" i="6"/>
  <c r="R106" i="7"/>
  <c r="S126" i="9"/>
  <c r="V82" i="3"/>
  <c r="R116" i="3"/>
  <c r="G20" i="3"/>
  <c r="Q15" i="6"/>
  <c r="B63" i="6"/>
  <c r="V89" i="12"/>
  <c r="V18" i="4"/>
  <c r="C24" i="8"/>
  <c r="C53" i="10"/>
  <c r="G4" i="7"/>
  <c r="G18" i="3"/>
  <c r="R129" i="5"/>
  <c r="R39" i="4"/>
  <c r="R39" i="11"/>
  <c r="U62" i="8"/>
  <c r="R142" i="7"/>
  <c r="D56" i="10"/>
  <c r="E27" i="5"/>
  <c r="S11" i="3"/>
  <c r="Q18" i="5"/>
  <c r="T22" i="8"/>
  <c r="R21" i="5"/>
  <c r="E55" i="12"/>
  <c r="T12" i="7"/>
  <c r="V144" i="6"/>
  <c r="R97" i="12"/>
  <c r="R32" i="8"/>
  <c r="G60" i="12"/>
  <c r="Q59" i="9"/>
  <c r="V141" i="5"/>
  <c r="U134" i="9"/>
  <c r="R45" i="7"/>
  <c r="S59" i="8"/>
  <c r="D48" i="6"/>
  <c r="R80" i="9"/>
  <c r="V112" i="10"/>
  <c r="R54" i="5"/>
  <c r="V135" i="3"/>
  <c r="V6" i="10"/>
  <c r="G48" i="11"/>
  <c r="T147" i="7"/>
  <c r="S58" i="9"/>
  <c r="V141" i="8"/>
  <c r="U146" i="3"/>
  <c r="S126" i="11"/>
  <c r="T132" i="10"/>
  <c r="S8" i="7"/>
  <c r="U113" i="3"/>
  <c r="R33" i="6"/>
  <c r="Q89" i="12"/>
  <c r="R128" i="12"/>
  <c r="S97" i="7"/>
  <c r="V144" i="5"/>
  <c r="U114" i="4"/>
  <c r="Q82" i="8"/>
  <c r="S92" i="4"/>
  <c r="S32" i="12"/>
  <c r="V123" i="8"/>
  <c r="U96" i="12"/>
  <c r="U84" i="9"/>
  <c r="Q102" i="8"/>
  <c r="V94" i="4"/>
  <c r="Q55" i="3"/>
  <c r="E48" i="9"/>
  <c r="D36" i="4"/>
  <c r="Q36" i="8"/>
  <c r="R125" i="4"/>
  <c r="R71" i="6"/>
  <c r="G13" i="9"/>
  <c r="U104" i="5"/>
  <c r="U31" i="7"/>
  <c r="U49" i="7"/>
  <c r="T86" i="12"/>
  <c r="Q137" i="6"/>
  <c r="V50" i="8"/>
  <c r="G23" i="6"/>
  <c r="R113" i="3"/>
  <c r="U32" i="7"/>
  <c r="T150" i="12"/>
  <c r="V104" i="12"/>
  <c r="T95" i="4"/>
  <c r="V42" i="11"/>
  <c r="T113" i="12"/>
  <c r="T83" i="11"/>
  <c r="S96" i="11"/>
  <c r="T35" i="6"/>
  <c r="T88" i="12"/>
  <c r="S141" i="9"/>
  <c r="C22" i="7"/>
  <c r="V108" i="11"/>
  <c r="R138" i="3"/>
  <c r="S138" i="8"/>
  <c r="S132" i="5"/>
  <c r="U117" i="11"/>
  <c r="R78" i="5"/>
  <c r="T75" i="6"/>
  <c r="R125" i="5"/>
  <c r="U55" i="6"/>
  <c r="R50" i="9"/>
  <c r="V93" i="3"/>
  <c r="U52" i="10"/>
  <c r="R86" i="10"/>
  <c r="R97" i="7"/>
  <c r="U129" i="11"/>
  <c r="U111" i="11"/>
  <c r="U96" i="6"/>
  <c r="T33" i="5"/>
  <c r="C32" i="6"/>
  <c r="Q134" i="5"/>
  <c r="G12" i="12"/>
  <c r="G60" i="5"/>
  <c r="U146" i="11"/>
  <c r="S63" i="11"/>
  <c r="S60" i="8"/>
  <c r="Q146" i="9"/>
  <c r="Q140" i="4"/>
  <c r="T116" i="9"/>
  <c r="G34" i="5"/>
  <c r="T42" i="6"/>
  <c r="U32" i="4"/>
  <c r="D63" i="7"/>
  <c r="F32" i="10"/>
  <c r="V128" i="4"/>
  <c r="R113" i="9"/>
  <c r="T119" i="11"/>
  <c r="S88" i="12"/>
  <c r="V133" i="4"/>
  <c r="C57" i="9"/>
  <c r="Q114" i="5"/>
  <c r="G21" i="7"/>
  <c r="R65" i="9"/>
  <c r="D54" i="4"/>
  <c r="Q63" i="11"/>
  <c r="V138" i="9"/>
  <c r="U33" i="5"/>
  <c r="Q136" i="9"/>
  <c r="U141" i="6"/>
  <c r="T74" i="12"/>
  <c r="U58" i="3"/>
  <c r="R45" i="10"/>
  <c r="G45" i="9"/>
  <c r="Q89" i="11"/>
  <c r="T134" i="7"/>
  <c r="S38" i="10"/>
  <c r="F48" i="6"/>
  <c r="V48" i="11"/>
  <c r="S89" i="4"/>
  <c r="V121" i="12"/>
  <c r="F20" i="10"/>
  <c r="S38" i="6"/>
  <c r="U95" i="9"/>
  <c r="V48" i="12"/>
  <c r="T60" i="8"/>
  <c r="T86" i="11"/>
  <c r="R64" i="12"/>
  <c r="D26" i="5"/>
  <c r="T92" i="9"/>
  <c r="R34" i="5"/>
  <c r="R39" i="9"/>
  <c r="R47" i="9"/>
  <c r="V95" i="10"/>
  <c r="T133" i="11"/>
  <c r="R7" i="4"/>
  <c r="V39" i="3"/>
  <c r="U34" i="12"/>
  <c r="R145" i="10"/>
  <c r="V32" i="6"/>
  <c r="R68" i="7"/>
  <c r="S88" i="9"/>
  <c r="Q76" i="12"/>
  <c r="V92" i="12"/>
  <c r="U22" i="6"/>
  <c r="U150" i="12"/>
  <c r="S6" i="3"/>
  <c r="R104" i="8"/>
  <c r="R115" i="8"/>
  <c r="S45" i="10"/>
  <c r="C51" i="8"/>
  <c r="U68" i="10"/>
  <c r="R87" i="9"/>
  <c r="U79" i="8"/>
  <c r="U82" i="6"/>
  <c r="U112" i="5"/>
  <c r="C51" i="10"/>
  <c r="Q68" i="12"/>
  <c r="S129" i="9"/>
  <c r="U37" i="8"/>
  <c r="T8" i="11"/>
  <c r="U81" i="9"/>
  <c r="S72" i="5"/>
  <c r="D59" i="5"/>
  <c r="Q109" i="12"/>
  <c r="Q143" i="11"/>
  <c r="B37" i="6"/>
  <c r="U94" i="8"/>
  <c r="V63" i="3"/>
  <c r="R131" i="4"/>
  <c r="R117" i="7"/>
  <c r="D37" i="10"/>
  <c r="S35" i="11"/>
  <c r="R145" i="4"/>
  <c r="S133" i="11"/>
  <c r="U19" i="12"/>
  <c r="T44" i="9"/>
  <c r="Q104" i="3"/>
  <c r="V89" i="5"/>
  <c r="Q137" i="4"/>
  <c r="T49" i="12"/>
  <c r="R142" i="10"/>
  <c r="Q96" i="11"/>
  <c r="Q39" i="8"/>
  <c r="S121" i="12"/>
  <c r="S69" i="9"/>
  <c r="Q32" i="10"/>
  <c r="S115" i="6"/>
  <c r="E44" i="7"/>
  <c r="U86" i="3"/>
  <c r="T70" i="4"/>
  <c r="U89" i="11"/>
  <c r="G3" i="11"/>
  <c r="B43" i="6"/>
  <c r="R84" i="12"/>
  <c r="G16" i="11"/>
  <c r="U11" i="11"/>
  <c r="F46" i="4"/>
  <c r="S96" i="12"/>
  <c r="G57" i="8"/>
  <c r="R143" i="10"/>
  <c r="V40" i="9"/>
  <c r="R59" i="10"/>
  <c r="R44" i="6"/>
  <c r="Q33" i="8"/>
  <c r="S113" i="5"/>
  <c r="S122" i="6"/>
  <c r="R110" i="9"/>
  <c r="V132" i="6"/>
  <c r="Q78" i="7"/>
  <c r="U120" i="7"/>
  <c r="D52" i="8"/>
  <c r="T137" i="9"/>
  <c r="Q144" i="10"/>
  <c r="V68" i="6"/>
  <c r="T31" i="8"/>
  <c r="S51" i="12"/>
  <c r="V143" i="8"/>
  <c r="S134" i="6"/>
  <c r="T89" i="7"/>
  <c r="S130" i="5"/>
  <c r="Q119" i="6"/>
  <c r="S76" i="10"/>
  <c r="T109" i="12"/>
  <c r="U149" i="4"/>
  <c r="U40" i="10"/>
  <c r="T89" i="5"/>
  <c r="Q101" i="5"/>
  <c r="S6" i="7"/>
  <c r="T147" i="12"/>
  <c r="T132" i="9"/>
  <c r="D37" i="5"/>
  <c r="E47" i="12"/>
  <c r="U13" i="10"/>
  <c r="S92" i="10"/>
  <c r="U31" i="9"/>
  <c r="T42" i="7"/>
  <c r="U99" i="3"/>
  <c r="V147" i="12"/>
  <c r="R33" i="10"/>
  <c r="Q73" i="5"/>
  <c r="Q117" i="12"/>
  <c r="Q118" i="3"/>
  <c r="V38" i="8"/>
  <c r="U20" i="12"/>
  <c r="U89" i="3"/>
  <c r="U94" i="10"/>
  <c r="B25" i="5"/>
  <c r="T4" i="11"/>
  <c r="V135" i="12"/>
  <c r="D48" i="5"/>
  <c r="B40" i="8"/>
  <c r="U83" i="4"/>
  <c r="R122" i="12"/>
  <c r="V131" i="9"/>
  <c r="F17" i="6"/>
  <c r="Q80" i="8"/>
  <c r="R48" i="12"/>
  <c r="Q97" i="9"/>
  <c r="E61" i="11"/>
  <c r="S44" i="11"/>
  <c r="S100" i="6"/>
  <c r="V78" i="3"/>
  <c r="R46" i="7"/>
  <c r="S124" i="6"/>
  <c r="Q85" i="5"/>
  <c r="V38" i="10"/>
  <c r="Q46" i="10"/>
  <c r="G5" i="8"/>
  <c r="B44" i="9"/>
  <c r="T139" i="5"/>
  <c r="T132" i="4"/>
  <c r="S119" i="7"/>
  <c r="T21" i="4"/>
  <c r="R34" i="6"/>
  <c r="V94" i="12"/>
  <c r="T73" i="9"/>
  <c r="T43" i="10"/>
  <c r="V56" i="6"/>
  <c r="E63" i="3"/>
  <c r="B16" i="10"/>
  <c r="U147" i="5"/>
  <c r="S127" i="12"/>
  <c r="T33" i="10"/>
  <c r="R130" i="6"/>
  <c r="S26" i="5"/>
  <c r="T11" i="3"/>
  <c r="U54" i="10"/>
  <c r="R49" i="8"/>
  <c r="Q40" i="6"/>
  <c r="U60" i="6"/>
  <c r="Q146" i="6"/>
  <c r="Q47" i="12"/>
  <c r="D24" i="12"/>
  <c r="U86" i="9"/>
  <c r="T46" i="12"/>
  <c r="U135" i="10"/>
  <c r="R60" i="4"/>
  <c r="D57" i="12"/>
  <c r="S39" i="11"/>
  <c r="S65" i="9"/>
  <c r="R118" i="6"/>
  <c r="C18" i="12"/>
  <c r="U100" i="8"/>
  <c r="U133" i="12"/>
  <c r="B10" i="4"/>
  <c r="S92" i="11"/>
  <c r="Q40" i="3"/>
  <c r="U106" i="3"/>
  <c r="U32" i="11"/>
  <c r="S74" i="8"/>
  <c r="T120" i="10"/>
  <c r="D44" i="4"/>
  <c r="R25" i="12"/>
  <c r="U84" i="12"/>
  <c r="S81" i="11"/>
  <c r="E6" i="6"/>
  <c r="U66" i="11"/>
  <c r="U59" i="10"/>
  <c r="R115" i="12"/>
  <c r="Q98" i="11"/>
  <c r="G12" i="4"/>
  <c r="T89" i="9"/>
  <c r="S62" i="4"/>
  <c r="C35" i="11"/>
  <c r="E58" i="4"/>
  <c r="D35" i="8"/>
  <c r="V133" i="6"/>
  <c r="V108" i="10"/>
  <c r="Q132" i="6"/>
  <c r="R103" i="12"/>
  <c r="U96" i="10"/>
  <c r="U42" i="7"/>
  <c r="T78" i="6"/>
  <c r="Q92" i="11"/>
  <c r="Q59" i="7"/>
  <c r="R134" i="8"/>
  <c r="R127" i="12"/>
  <c r="R7" i="8"/>
  <c r="V39" i="6"/>
  <c r="G54" i="11"/>
  <c r="T14" i="10"/>
  <c r="U119" i="7"/>
  <c r="C13" i="4"/>
  <c r="S51" i="6"/>
  <c r="R140" i="9"/>
  <c r="C33" i="11"/>
  <c r="S81" i="9"/>
  <c r="D46" i="6"/>
  <c r="Q103" i="11"/>
  <c r="V58" i="12"/>
  <c r="Q10" i="5"/>
  <c r="Q76" i="8"/>
  <c r="B46" i="10"/>
  <c r="V120" i="8"/>
  <c r="Q89" i="4"/>
  <c r="V121" i="4"/>
  <c r="U75" i="5"/>
  <c r="Q64" i="12"/>
  <c r="U62" i="4"/>
  <c r="G8" i="10"/>
  <c r="F22" i="12"/>
  <c r="T57" i="9"/>
  <c r="U58" i="8"/>
  <c r="C37" i="10"/>
  <c r="T149" i="11"/>
  <c r="T74" i="3"/>
  <c r="U84" i="6"/>
  <c r="D20" i="3"/>
  <c r="T33" i="9"/>
  <c r="U36" i="6"/>
  <c r="U6" i="8"/>
  <c r="U132" i="4"/>
  <c r="G32" i="9"/>
  <c r="T130" i="10"/>
  <c r="U78" i="11"/>
  <c r="B28" i="7"/>
  <c r="Q130" i="3"/>
  <c r="U31" i="3"/>
  <c r="U90" i="11"/>
  <c r="V47" i="10"/>
  <c r="V81" i="8"/>
  <c r="Q147" i="5"/>
  <c r="V77" i="7"/>
  <c r="S119" i="12"/>
  <c r="U122" i="3"/>
  <c r="Q150" i="10"/>
  <c r="S131" i="4"/>
  <c r="U84" i="11"/>
  <c r="S146" i="12"/>
  <c r="U64" i="9"/>
  <c r="V96" i="10"/>
  <c r="G28" i="6"/>
  <c r="C16" i="5"/>
  <c r="T112" i="4"/>
  <c r="E41" i="12"/>
  <c r="S116" i="7"/>
  <c r="R123" i="5"/>
  <c r="S142" i="11"/>
  <c r="T150" i="11"/>
  <c r="E54" i="9"/>
  <c r="V101" i="8"/>
  <c r="S43" i="11"/>
  <c r="C9" i="5"/>
  <c r="Q6" i="10"/>
  <c r="Q92" i="9"/>
  <c r="V133" i="7"/>
  <c r="U15" i="6"/>
  <c r="S37" i="3"/>
  <c r="T145" i="6"/>
  <c r="D32" i="4"/>
  <c r="V91" i="5"/>
  <c r="S113" i="6"/>
  <c r="S120" i="11"/>
  <c r="S141" i="11"/>
  <c r="Q50" i="7"/>
  <c r="T3" i="10"/>
  <c r="B40" i="12"/>
  <c r="D7" i="4"/>
  <c r="Q41" i="12"/>
  <c r="U12" i="3"/>
  <c r="U80" i="8"/>
  <c r="T63" i="11"/>
  <c r="R95" i="3"/>
  <c r="V36" i="3"/>
  <c r="C6" i="4"/>
  <c r="B52" i="12"/>
  <c r="R30" i="8"/>
  <c r="T37" i="12"/>
  <c r="G19" i="4"/>
  <c r="Q42" i="11"/>
  <c r="F45" i="6"/>
  <c r="R141" i="8"/>
  <c r="G26" i="7"/>
  <c r="S136" i="12"/>
  <c r="S118" i="12"/>
  <c r="V39" i="4"/>
  <c r="R35" i="11"/>
  <c r="T145" i="8"/>
  <c r="U57" i="12"/>
  <c r="R60" i="3"/>
  <c r="Q9" i="6"/>
  <c r="B5" i="6"/>
  <c r="T72" i="5"/>
  <c r="T130" i="5"/>
  <c r="V129" i="3"/>
  <c r="S103" i="8"/>
  <c r="E54" i="4"/>
  <c r="T136" i="4"/>
  <c r="U121" i="11"/>
  <c r="Q59" i="8"/>
  <c r="C60" i="3"/>
  <c r="V79" i="7"/>
  <c r="E20" i="11"/>
  <c r="B58" i="12"/>
  <c r="U3" i="6"/>
  <c r="S59" i="12"/>
  <c r="Q110" i="9"/>
  <c r="C27" i="7"/>
  <c r="S17" i="4"/>
  <c r="T142" i="4"/>
  <c r="F5" i="3"/>
  <c r="T148" i="7"/>
  <c r="T95" i="11"/>
  <c r="Q31" i="10"/>
  <c r="U142" i="7"/>
  <c r="T101" i="8"/>
  <c r="V143" i="10"/>
  <c r="S19" i="9"/>
  <c r="T70" i="12"/>
  <c r="R123" i="4"/>
  <c r="Q88" i="9"/>
  <c r="U72" i="7"/>
  <c r="U18" i="6"/>
  <c r="T110" i="6"/>
  <c r="Q8" i="8"/>
  <c r="R124" i="5"/>
  <c r="Q33" i="7"/>
  <c r="S118" i="7"/>
  <c r="Q58" i="5"/>
  <c r="F23" i="8"/>
  <c r="Q145" i="11"/>
  <c r="Q142" i="8"/>
  <c r="F40" i="11"/>
  <c r="V3" i="9"/>
  <c r="T140" i="10"/>
  <c r="Q45" i="5"/>
  <c r="D20" i="7"/>
  <c r="F17" i="3"/>
  <c r="B46" i="9"/>
  <c r="V18" i="8"/>
  <c r="Q121" i="11"/>
  <c r="T79" i="3"/>
  <c r="B12" i="11"/>
  <c r="F45" i="10"/>
  <c r="C14" i="3"/>
  <c r="V131" i="7"/>
  <c r="F39" i="8"/>
  <c r="R18" i="12"/>
  <c r="U90" i="4"/>
  <c r="S115" i="7"/>
  <c r="V127" i="9"/>
  <c r="S130" i="4"/>
  <c r="G53" i="8"/>
  <c r="Q131" i="4"/>
  <c r="R19" i="8"/>
  <c r="V107" i="5"/>
  <c r="R85" i="7"/>
  <c r="S147" i="11"/>
  <c r="F35" i="4"/>
  <c r="Q82" i="12"/>
  <c r="U127" i="5"/>
  <c r="V41" i="8"/>
  <c r="C7" i="6"/>
  <c r="T144" i="10"/>
  <c r="E59" i="5"/>
  <c r="S22" i="6"/>
  <c r="U46" i="11"/>
  <c r="F36" i="9"/>
  <c r="R70" i="7"/>
  <c r="T115" i="8"/>
  <c r="U93" i="5"/>
  <c r="V81" i="6"/>
  <c r="Q122" i="5"/>
  <c r="U36" i="4"/>
  <c r="V84" i="11"/>
  <c r="Q53" i="3"/>
  <c r="V53" i="9"/>
  <c r="U47" i="6"/>
  <c r="D42" i="4"/>
  <c r="B10" i="12"/>
  <c r="R138" i="12"/>
  <c r="S82" i="5"/>
  <c r="U38" i="11"/>
  <c r="S65" i="7"/>
  <c r="T21" i="3"/>
  <c r="T107" i="4"/>
  <c r="S59" i="4"/>
  <c r="G44" i="6"/>
  <c r="Q73" i="8"/>
  <c r="E14" i="4"/>
  <c r="S136" i="10"/>
  <c r="S45" i="8"/>
  <c r="S24" i="11"/>
  <c r="S100" i="5"/>
  <c r="S53" i="12"/>
  <c r="F45" i="8"/>
  <c r="V144" i="3"/>
  <c r="C62" i="11"/>
  <c r="Q33" i="12"/>
  <c r="T68" i="9"/>
  <c r="V112" i="12"/>
  <c r="S62" i="5"/>
  <c r="U16" i="8"/>
  <c r="R36" i="12"/>
  <c r="S131" i="5"/>
  <c r="U80" i="7"/>
  <c r="R139" i="7"/>
  <c r="T18" i="12"/>
  <c r="Q74" i="6"/>
  <c r="U102" i="11"/>
  <c r="V146" i="5"/>
  <c r="E34" i="11"/>
  <c r="V45" i="11"/>
  <c r="B18" i="4"/>
  <c r="V31" i="8"/>
  <c r="G44" i="3"/>
  <c r="F34" i="10"/>
  <c r="U50" i="12"/>
  <c r="T64" i="9"/>
  <c r="V42" i="6"/>
  <c r="Q4" i="5"/>
  <c r="V109" i="10"/>
  <c r="T146" i="11"/>
  <c r="T26" i="12"/>
  <c r="G9" i="12"/>
  <c r="F3" i="12"/>
  <c r="U45" i="9"/>
  <c r="G16" i="10"/>
  <c r="R116" i="8"/>
  <c r="G37" i="5"/>
  <c r="U131" i="6"/>
  <c r="T56" i="12"/>
  <c r="D7" i="8"/>
  <c r="R65" i="7"/>
  <c r="D51" i="5"/>
  <c r="S115" i="10"/>
  <c r="Q65" i="12"/>
  <c r="R62" i="9"/>
  <c r="T128" i="5"/>
  <c r="S46" i="4"/>
  <c r="U129" i="12"/>
  <c r="T136" i="3"/>
  <c r="D63" i="9"/>
  <c r="U74" i="3"/>
  <c r="V118" i="9"/>
  <c r="U123" i="5"/>
  <c r="S139" i="12"/>
  <c r="F4" i="11"/>
  <c r="R112" i="10"/>
  <c r="V35" i="8"/>
  <c r="F19" i="5"/>
  <c r="D54" i="3"/>
  <c r="U59" i="8"/>
  <c r="U76" i="8"/>
  <c r="T143" i="7"/>
  <c r="F28" i="3"/>
  <c r="T32" i="10"/>
  <c r="S104" i="6"/>
  <c r="Q82" i="6"/>
  <c r="R73" i="6"/>
  <c r="Q107" i="11"/>
  <c r="S64" i="12"/>
  <c r="S5" i="6"/>
  <c r="T24" i="10"/>
  <c r="R30" i="10"/>
  <c r="V127" i="5"/>
  <c r="B7" i="5"/>
  <c r="B56" i="5"/>
  <c r="U69" i="4"/>
  <c r="R32" i="4"/>
  <c r="C46" i="12"/>
  <c r="S40" i="9"/>
  <c r="T104" i="11"/>
  <c r="V120" i="5"/>
  <c r="C38" i="5"/>
  <c r="S25" i="7"/>
  <c r="V61" i="5"/>
  <c r="T48" i="12"/>
  <c r="Q30" i="4"/>
  <c r="Q57" i="10"/>
  <c r="S52" i="7"/>
  <c r="Q109" i="6"/>
  <c r="Q37" i="9"/>
  <c r="V79" i="4"/>
  <c r="B37" i="3"/>
  <c r="Q69" i="9"/>
  <c r="V84" i="12"/>
  <c r="U7" i="3"/>
  <c r="S145" i="8"/>
  <c r="G54" i="6"/>
  <c r="R48" i="9"/>
  <c r="C9" i="4"/>
  <c r="F62" i="9"/>
  <c r="T134" i="12"/>
  <c r="V120" i="12"/>
  <c r="S135" i="12"/>
  <c r="Q61" i="10"/>
  <c r="U94" i="6"/>
  <c r="V3" i="6"/>
  <c r="V55" i="11"/>
  <c r="G60" i="11"/>
  <c r="V74" i="3"/>
  <c r="V32" i="11"/>
  <c r="V129" i="6"/>
  <c r="Q26" i="3"/>
  <c r="T138" i="5"/>
  <c r="G53" i="5"/>
  <c r="U71" i="3"/>
  <c r="C12" i="5"/>
  <c r="S76" i="6"/>
  <c r="T74" i="11"/>
  <c r="S31" i="3"/>
  <c r="S55" i="3"/>
  <c r="U42" i="10"/>
  <c r="Q4" i="9"/>
  <c r="R127" i="11"/>
  <c r="Q130" i="8"/>
  <c r="S79" i="11"/>
  <c r="Q74" i="5"/>
  <c r="F48" i="10"/>
  <c r="S61" i="4"/>
  <c r="U149" i="7"/>
  <c r="G17" i="3"/>
  <c r="T64" i="7"/>
  <c r="U49" i="4"/>
  <c r="Q95" i="5"/>
  <c r="E35" i="12"/>
  <c r="D59" i="8"/>
  <c r="Q35" i="5"/>
  <c r="T40" i="5"/>
  <c r="S145" i="4"/>
  <c r="V114" i="12"/>
  <c r="G54" i="7"/>
  <c r="D6" i="3"/>
  <c r="R23" i="12"/>
  <c r="T49" i="7"/>
  <c r="G47" i="10"/>
  <c r="Q52" i="11"/>
  <c r="E26" i="8"/>
  <c r="U8" i="11"/>
  <c r="S36" i="8"/>
  <c r="Q81" i="8"/>
  <c r="V97" i="7"/>
  <c r="U100" i="6"/>
  <c r="S33" i="8"/>
  <c r="Q89" i="9"/>
  <c r="U66" i="4"/>
  <c r="E10" i="12"/>
  <c r="U22" i="7"/>
  <c r="T101" i="3"/>
  <c r="S77" i="12"/>
  <c r="V12" i="12"/>
  <c r="U68" i="6"/>
  <c r="F13" i="3"/>
  <c r="S87" i="7"/>
  <c r="V115" i="7"/>
  <c r="E36" i="3"/>
  <c r="S114" i="5"/>
  <c r="F56" i="11"/>
  <c r="E11" i="6"/>
  <c r="E58" i="3"/>
  <c r="R49" i="3"/>
  <c r="Q12" i="11"/>
  <c r="R144" i="7"/>
  <c r="B34" i="4"/>
  <c r="U99" i="11"/>
  <c r="G32" i="4"/>
  <c r="S49" i="11"/>
  <c r="U150" i="5"/>
  <c r="V85" i="9"/>
  <c r="U31" i="6"/>
  <c r="U139" i="8"/>
  <c r="V9" i="9"/>
  <c r="C22" i="6"/>
  <c r="T76" i="11"/>
  <c r="T66" i="10"/>
  <c r="U44" i="6"/>
  <c r="V56" i="12"/>
  <c r="U145" i="6"/>
  <c r="V8" i="12"/>
  <c r="V84" i="3"/>
  <c r="U101" i="4"/>
  <c r="Q66" i="7"/>
  <c r="V61" i="12"/>
  <c r="Q38" i="5"/>
  <c r="V122" i="10"/>
  <c r="F22" i="6"/>
  <c r="F32" i="5"/>
  <c r="E39" i="3"/>
  <c r="T130" i="3"/>
  <c r="B26" i="4"/>
  <c r="R31" i="7"/>
  <c r="Q117" i="5"/>
  <c r="Q77" i="9"/>
  <c r="Q65" i="5"/>
  <c r="V59" i="9"/>
  <c r="B50" i="11"/>
  <c r="F51" i="10"/>
  <c r="G27" i="7"/>
  <c r="Q144" i="12"/>
  <c r="D22" i="11"/>
  <c r="S91" i="6"/>
  <c r="V9" i="4"/>
  <c r="E51" i="5"/>
  <c r="T65" i="11"/>
  <c r="U73" i="6"/>
  <c r="B27" i="7"/>
  <c r="F9" i="7"/>
  <c r="G21" i="6"/>
  <c r="S54" i="5"/>
  <c r="V137" i="10"/>
  <c r="T37" i="4"/>
  <c r="V23" i="3"/>
  <c r="G14" i="10"/>
  <c r="S71" i="8"/>
  <c r="V58" i="10"/>
  <c r="C27" i="3"/>
  <c r="S49" i="12"/>
  <c r="S56" i="8"/>
  <c r="T85" i="4"/>
  <c r="R44" i="8"/>
  <c r="V72" i="6"/>
  <c r="U64" i="7"/>
  <c r="E43" i="7"/>
  <c r="Q90" i="5"/>
  <c r="G56" i="3"/>
  <c r="G58" i="11"/>
  <c r="G45" i="6"/>
  <c r="T50" i="3"/>
  <c r="V137" i="6"/>
  <c r="Q56" i="11"/>
  <c r="U20" i="4"/>
  <c r="S127" i="8"/>
  <c r="R123" i="8"/>
  <c r="V65" i="10"/>
  <c r="R27" i="6"/>
  <c r="F57" i="12"/>
  <c r="T95" i="5"/>
  <c r="Q30" i="10"/>
  <c r="V128" i="12"/>
  <c r="R107" i="11"/>
  <c r="D61" i="3"/>
  <c r="R70" i="6"/>
  <c r="G52" i="8"/>
  <c r="Q19" i="10"/>
  <c r="Q136" i="3"/>
  <c r="R70" i="10"/>
  <c r="R139" i="6"/>
  <c r="U24" i="10"/>
  <c r="S119" i="8"/>
  <c r="V102" i="11"/>
  <c r="D38" i="11"/>
  <c r="R22" i="9"/>
  <c r="G33" i="8"/>
  <c r="V101" i="11"/>
  <c r="V83" i="6"/>
  <c r="T70" i="6"/>
  <c r="R131" i="3"/>
  <c r="B36" i="4"/>
  <c r="R107" i="6"/>
  <c r="B55" i="12"/>
  <c r="F37" i="3"/>
  <c r="U97" i="9"/>
  <c r="V33" i="6"/>
  <c r="B48" i="6"/>
  <c r="G60" i="10"/>
  <c r="F7" i="7"/>
  <c r="T16" i="8"/>
  <c r="C38" i="4"/>
  <c r="S125" i="8"/>
  <c r="F37" i="10"/>
  <c r="R40" i="5"/>
  <c r="V9" i="6"/>
  <c r="E46" i="11"/>
  <c r="B3" i="9"/>
  <c r="T24" i="6"/>
  <c r="R73" i="3"/>
  <c r="U142" i="5"/>
  <c r="B54" i="3"/>
  <c r="T42" i="3"/>
  <c r="R144" i="6"/>
  <c r="U9" i="6"/>
  <c r="S119" i="11"/>
  <c r="T124" i="5"/>
  <c r="T90" i="9"/>
  <c r="T129" i="7"/>
  <c r="V73" i="7"/>
  <c r="D29" i="11"/>
  <c r="V60" i="8"/>
  <c r="V17" i="5"/>
  <c r="V103" i="7"/>
  <c r="F10" i="11"/>
  <c r="F62" i="11"/>
  <c r="G46" i="3"/>
  <c r="E11" i="3"/>
  <c r="U86" i="5"/>
  <c r="S30" i="6"/>
  <c r="V86" i="6"/>
  <c r="C28" i="9"/>
  <c r="Q71" i="11"/>
  <c r="Q52" i="6"/>
  <c r="G35" i="10"/>
  <c r="D24" i="4"/>
  <c r="V5" i="9"/>
  <c r="D50" i="11"/>
  <c r="B45" i="7"/>
  <c r="Q12" i="4"/>
  <c r="V147" i="10"/>
  <c r="U132" i="6"/>
  <c r="D45" i="4"/>
  <c r="E6" i="3"/>
  <c r="R76" i="7"/>
  <c r="F18" i="5"/>
  <c r="R97" i="10"/>
  <c r="C19" i="10"/>
  <c r="E31" i="4"/>
  <c r="R81" i="6"/>
  <c r="D60" i="4"/>
  <c r="T30" i="6"/>
  <c r="B58" i="7"/>
  <c r="V100" i="5"/>
  <c r="E43" i="4"/>
  <c r="Q125" i="9"/>
  <c r="U40" i="3"/>
  <c r="C50" i="12"/>
  <c r="B9" i="9"/>
  <c r="B61" i="12"/>
  <c r="C7" i="4"/>
  <c r="B12" i="10"/>
  <c r="E33" i="3"/>
  <c r="U34" i="7"/>
  <c r="E24" i="7"/>
  <c r="S105" i="9"/>
  <c r="R120" i="10"/>
  <c r="E9" i="7"/>
  <c r="C36" i="5"/>
  <c r="G56" i="4"/>
  <c r="U97" i="10"/>
  <c r="U123" i="4"/>
  <c r="R24" i="4"/>
  <c r="Q43" i="5"/>
  <c r="B12" i="4"/>
  <c r="R63" i="12"/>
  <c r="R40" i="4"/>
  <c r="Q126" i="10"/>
  <c r="D40" i="9"/>
  <c r="R111" i="5"/>
  <c r="U68" i="8"/>
  <c r="G4" i="11"/>
  <c r="G34" i="7"/>
  <c r="R137" i="4"/>
  <c r="V137" i="5"/>
  <c r="T93" i="3"/>
  <c r="D47" i="6"/>
  <c r="R65" i="3"/>
  <c r="S79" i="5"/>
  <c r="D9" i="3"/>
  <c r="V141" i="3"/>
  <c r="D36" i="10"/>
  <c r="F53" i="11"/>
  <c r="V99" i="3"/>
  <c r="V66" i="11"/>
  <c r="F30" i="11"/>
  <c r="R104" i="11"/>
  <c r="E10" i="11"/>
  <c r="F38" i="8"/>
  <c r="R111" i="8"/>
  <c r="G58" i="6"/>
  <c r="R141" i="10"/>
  <c r="T118" i="9"/>
  <c r="Q8" i="5"/>
  <c r="T108" i="11"/>
  <c r="Q147" i="10"/>
  <c r="V73" i="3"/>
  <c r="R81" i="12"/>
  <c r="D35" i="7"/>
  <c r="S81" i="10"/>
  <c r="T108" i="3"/>
  <c r="R36" i="8"/>
  <c r="V35" i="12"/>
  <c r="R68" i="8"/>
  <c r="B50" i="10"/>
  <c r="E30" i="3"/>
  <c r="R146" i="7"/>
  <c r="S90" i="8"/>
  <c r="R14" i="9"/>
  <c r="G5" i="10"/>
  <c r="S95" i="7"/>
  <c r="D27" i="5"/>
  <c r="E58" i="5"/>
  <c r="R120" i="7"/>
  <c r="R34" i="7"/>
  <c r="D27" i="7"/>
  <c r="V78" i="11"/>
  <c r="F37" i="12"/>
  <c r="C23" i="4"/>
  <c r="B8" i="11"/>
  <c r="T31" i="7"/>
  <c r="B57" i="5"/>
  <c r="U79" i="11"/>
  <c r="D56" i="11"/>
  <c r="S148" i="12"/>
  <c r="R56" i="8"/>
  <c r="R33" i="11"/>
  <c r="T111" i="5"/>
  <c r="D27" i="3"/>
  <c r="D28" i="6"/>
  <c r="G56" i="9"/>
  <c r="D59" i="6"/>
  <c r="G30" i="4"/>
  <c r="F10" i="5"/>
  <c r="B31" i="5"/>
  <c r="S52" i="4"/>
  <c r="V75" i="5"/>
  <c r="V145" i="6"/>
  <c r="G55" i="7"/>
  <c r="S133" i="10"/>
  <c r="U51" i="8"/>
  <c r="T120" i="11"/>
  <c r="B35" i="10"/>
  <c r="U93" i="4"/>
  <c r="V103" i="6"/>
  <c r="C20" i="6"/>
  <c r="Q123" i="9"/>
  <c r="Q24" i="10"/>
  <c r="Q150" i="5"/>
  <c r="V35" i="3"/>
  <c r="C33" i="4"/>
  <c r="D46" i="5"/>
  <c r="R99" i="9"/>
  <c r="Q88" i="6"/>
  <c r="R38" i="6"/>
  <c r="E56" i="7"/>
  <c r="Q6" i="11"/>
  <c r="V102" i="6"/>
  <c r="Q128" i="5"/>
  <c r="E52" i="3"/>
  <c r="U122" i="9"/>
  <c r="R24" i="8"/>
  <c r="Q143" i="6"/>
  <c r="R49" i="4"/>
  <c r="V100" i="10"/>
  <c r="E39" i="9"/>
  <c r="G31" i="9"/>
  <c r="U16" i="12"/>
  <c r="E50" i="6"/>
  <c r="T132" i="3"/>
  <c r="R146" i="3"/>
  <c r="C14" i="5"/>
  <c r="D19" i="8"/>
  <c r="V114" i="3"/>
  <c r="G40" i="4"/>
  <c r="D30" i="8"/>
  <c r="Q83" i="7"/>
  <c r="R96" i="4"/>
  <c r="T137" i="8"/>
  <c r="G28" i="9"/>
  <c r="B39" i="4"/>
  <c r="Q68" i="7"/>
  <c r="U35" i="9"/>
  <c r="E36" i="10"/>
  <c r="T94" i="7"/>
  <c r="V36" i="11"/>
  <c r="R135" i="4"/>
  <c r="R14" i="8"/>
  <c r="D47" i="11"/>
  <c r="V4" i="10"/>
  <c r="D57" i="10"/>
  <c r="F10" i="3"/>
  <c r="U55" i="7"/>
  <c r="C51" i="7"/>
  <c r="B33" i="3"/>
  <c r="V65" i="7"/>
  <c r="S78" i="9"/>
  <c r="D62" i="12"/>
  <c r="D37" i="4"/>
  <c r="V87" i="4"/>
  <c r="E3" i="8"/>
  <c r="Q74" i="10"/>
  <c r="R71" i="10"/>
  <c r="R101" i="5"/>
  <c r="F63" i="5"/>
  <c r="V101" i="6"/>
  <c r="V105" i="5"/>
  <c r="U37" i="10"/>
  <c r="F54" i="4"/>
  <c r="V110" i="11"/>
  <c r="F31" i="11"/>
  <c r="Q148" i="11"/>
  <c r="V82" i="4"/>
  <c r="S125" i="11"/>
  <c r="S6" i="9"/>
  <c r="U81" i="8"/>
  <c r="S71" i="7"/>
  <c r="V41" i="7"/>
  <c r="R71" i="3"/>
  <c r="S63" i="9"/>
  <c r="U110" i="6"/>
  <c r="S124" i="8"/>
  <c r="Q72" i="3"/>
  <c r="D16" i="8"/>
  <c r="T143" i="11"/>
  <c r="Q37" i="10"/>
  <c r="S124" i="4"/>
  <c r="Q132" i="12"/>
  <c r="V7" i="3"/>
  <c r="R50" i="3"/>
  <c r="Q76" i="7"/>
  <c r="B39" i="10"/>
  <c r="V127" i="10"/>
  <c r="T98" i="3"/>
  <c r="Q143" i="4"/>
  <c r="B40" i="6"/>
  <c r="Q13" i="7"/>
  <c r="V121" i="10"/>
  <c r="G7" i="3"/>
  <c r="R73" i="8"/>
  <c r="Q102" i="3"/>
  <c r="R57" i="4"/>
  <c r="C62" i="10"/>
  <c r="D10" i="7"/>
  <c r="T50" i="10"/>
  <c r="S64" i="5"/>
  <c r="E31" i="6"/>
  <c r="U64" i="4"/>
  <c r="F60" i="12"/>
  <c r="R80" i="8"/>
  <c r="U13" i="12"/>
  <c r="U56" i="4"/>
  <c r="R97" i="6"/>
  <c r="E38" i="10"/>
  <c r="F11" i="4"/>
  <c r="D19" i="7"/>
  <c r="V47" i="8"/>
  <c r="F56" i="10"/>
  <c r="S74" i="3"/>
  <c r="S141" i="4"/>
  <c r="F54" i="12"/>
  <c r="R58" i="4"/>
  <c r="R12" i="7"/>
  <c r="G17" i="8"/>
  <c r="S76" i="4"/>
  <c r="C46" i="7"/>
  <c r="R134" i="12"/>
  <c r="R36" i="4"/>
  <c r="R35" i="12"/>
  <c r="R64" i="9"/>
  <c r="Q37" i="6"/>
  <c r="U91" i="4"/>
  <c r="B27" i="11"/>
  <c r="T27" i="7"/>
  <c r="V102" i="8"/>
  <c r="F4" i="5"/>
  <c r="R132" i="9"/>
  <c r="C10" i="11"/>
  <c r="Q35" i="11"/>
  <c r="G20" i="12"/>
  <c r="U81" i="10"/>
  <c r="B41" i="6"/>
  <c r="C60" i="4"/>
  <c r="T103" i="11"/>
  <c r="S66" i="3"/>
  <c r="S26" i="3"/>
  <c r="U94" i="9"/>
  <c r="T46" i="9"/>
  <c r="V92" i="11"/>
  <c r="C15" i="3"/>
  <c r="T23" i="5"/>
  <c r="V53" i="7"/>
  <c r="S121" i="3"/>
  <c r="F16" i="12"/>
  <c r="S49" i="9"/>
  <c r="S110" i="8"/>
  <c r="S146" i="3"/>
  <c r="R81" i="8"/>
  <c r="Q49" i="4"/>
  <c r="Q111" i="7"/>
  <c r="C22" i="4"/>
  <c r="T18" i="9"/>
  <c r="F47" i="6"/>
  <c r="S96" i="4"/>
  <c r="Q105" i="5"/>
  <c r="G49" i="10"/>
  <c r="C13" i="7"/>
  <c r="Q73" i="10"/>
  <c r="T117" i="3"/>
  <c r="Q61" i="6"/>
  <c r="T17" i="10"/>
  <c r="Q139" i="9"/>
  <c r="Q131" i="9"/>
  <c r="R59" i="12"/>
  <c r="R115" i="7"/>
  <c r="S76" i="7"/>
  <c r="Q111" i="10"/>
  <c r="R109" i="9"/>
  <c r="F59" i="5"/>
  <c r="Q109" i="5"/>
  <c r="Q64" i="8"/>
  <c r="G13" i="7"/>
  <c r="R36" i="7"/>
  <c r="C34" i="4"/>
  <c r="S20" i="5"/>
  <c r="U39" i="9"/>
  <c r="E53" i="11"/>
  <c r="R81" i="3"/>
  <c r="R141" i="5"/>
  <c r="T72" i="10"/>
  <c r="B38" i="4"/>
  <c r="R9" i="12"/>
  <c r="B58" i="3"/>
  <c r="S132" i="8"/>
  <c r="Q128" i="7"/>
  <c r="T34" i="11"/>
  <c r="R31" i="11"/>
  <c r="F26" i="6"/>
  <c r="U37" i="3"/>
  <c r="Q105" i="12"/>
  <c r="Q33" i="5"/>
  <c r="V27" i="8"/>
  <c r="V14" i="4"/>
  <c r="F37" i="5"/>
  <c r="S143" i="7"/>
  <c r="C62" i="6"/>
  <c r="S4" i="5"/>
  <c r="F49" i="5"/>
  <c r="S96" i="10"/>
  <c r="E14" i="10"/>
  <c r="T125" i="12"/>
  <c r="V66" i="12"/>
  <c r="T131" i="10"/>
  <c r="U17" i="11"/>
  <c r="V90" i="11"/>
  <c r="B29" i="3"/>
  <c r="Q106" i="6"/>
  <c r="V83" i="7"/>
  <c r="D26" i="4"/>
  <c r="U80" i="10"/>
  <c r="U9" i="12"/>
  <c r="D27" i="9"/>
  <c r="T149" i="12"/>
  <c r="U150" i="3"/>
  <c r="R110" i="6"/>
  <c r="T70" i="10"/>
  <c r="C51" i="9"/>
  <c r="V90" i="8"/>
  <c r="U75" i="12"/>
  <c r="Q111" i="6"/>
  <c r="D58" i="10"/>
  <c r="E35" i="11"/>
  <c r="Q101" i="7"/>
  <c r="T65" i="8"/>
  <c r="Q103" i="10"/>
  <c r="C34" i="9"/>
  <c r="T47" i="3"/>
  <c r="C40" i="6"/>
  <c r="V83" i="5"/>
  <c r="U6" i="7"/>
  <c r="T51" i="12"/>
  <c r="B14" i="10"/>
  <c r="F43" i="11"/>
  <c r="D34" i="9"/>
  <c r="R41" i="7"/>
  <c r="T52" i="9"/>
  <c r="T92" i="3"/>
  <c r="R100" i="6"/>
  <c r="S73" i="4"/>
  <c r="D42" i="12"/>
  <c r="R133" i="9"/>
  <c r="G28" i="11"/>
  <c r="V112" i="9"/>
  <c r="Q79" i="12"/>
  <c r="T34" i="10"/>
  <c r="Q127" i="7"/>
  <c r="Q67" i="8"/>
  <c r="C26" i="9"/>
  <c r="Q83" i="5"/>
  <c r="F40" i="3"/>
  <c r="U77" i="8"/>
  <c r="G54" i="4"/>
  <c r="R20" i="4"/>
  <c r="R59" i="5"/>
  <c r="U75" i="6"/>
  <c r="E22" i="4"/>
  <c r="V13" i="6"/>
  <c r="T68" i="8"/>
  <c r="U124" i="3"/>
  <c r="D11" i="12"/>
  <c r="T98" i="6"/>
  <c r="T121" i="3"/>
  <c r="U141" i="9"/>
  <c r="F34" i="6"/>
  <c r="F58" i="3"/>
  <c r="R33" i="12"/>
  <c r="V49" i="11"/>
  <c r="E19" i="6"/>
  <c r="Q94" i="8"/>
  <c r="S27" i="9"/>
  <c r="S143" i="11"/>
  <c r="E10" i="8"/>
  <c r="D4" i="5"/>
  <c r="F42" i="5"/>
  <c r="R109" i="4"/>
  <c r="D26" i="11"/>
  <c r="B34" i="5"/>
  <c r="G55" i="12"/>
  <c r="U122" i="4"/>
  <c r="B14" i="5"/>
  <c r="R61" i="7"/>
  <c r="G20" i="4"/>
  <c r="T30" i="4"/>
  <c r="B44" i="8"/>
  <c r="U24" i="8"/>
  <c r="S14" i="12"/>
  <c r="R27" i="3"/>
  <c r="G30" i="3"/>
  <c r="B18" i="12"/>
  <c r="T20" i="5"/>
  <c r="S96" i="9"/>
  <c r="V115" i="9"/>
  <c r="U118" i="12"/>
  <c r="C44" i="8"/>
  <c r="S86" i="10"/>
  <c r="T45" i="12"/>
  <c r="R140" i="7"/>
  <c r="G20" i="5"/>
  <c r="G12" i="10"/>
  <c r="V95" i="5"/>
  <c r="T25" i="10"/>
  <c r="S90" i="5"/>
  <c r="S97" i="9"/>
  <c r="R82" i="7"/>
  <c r="Q75" i="5"/>
  <c r="T119" i="4"/>
  <c r="S95" i="3"/>
  <c r="E23" i="10"/>
  <c r="F61" i="10"/>
  <c r="S124" i="11"/>
  <c r="Q127" i="5"/>
  <c r="U48" i="6"/>
  <c r="R66" i="3"/>
  <c r="F15" i="11"/>
  <c r="U114" i="5"/>
  <c r="E44" i="3"/>
  <c r="S106" i="7"/>
  <c r="E45" i="4"/>
  <c r="V98" i="5"/>
  <c r="U58" i="6"/>
  <c r="Q122" i="9"/>
  <c r="S132" i="4"/>
  <c r="V13" i="8"/>
  <c r="Q107" i="8"/>
  <c r="Q31" i="12"/>
  <c r="R60" i="7"/>
  <c r="R146" i="8"/>
  <c r="V12" i="10"/>
  <c r="U137" i="11"/>
  <c r="F36" i="11"/>
  <c r="V61" i="9"/>
  <c r="B43" i="5"/>
  <c r="S120" i="3"/>
  <c r="E63" i="11"/>
  <c r="B51" i="12"/>
  <c r="T21" i="8"/>
  <c r="F15" i="8"/>
  <c r="S90" i="11"/>
  <c r="U118" i="5"/>
  <c r="R103" i="4"/>
  <c r="V106" i="9"/>
  <c r="Q111" i="4"/>
  <c r="S110" i="11"/>
  <c r="C58" i="7"/>
  <c r="E63" i="10"/>
  <c r="R62" i="5"/>
  <c r="U6" i="10"/>
  <c r="F14" i="10"/>
  <c r="B38" i="10"/>
  <c r="R61" i="8"/>
  <c r="V99" i="8"/>
  <c r="U4" i="10"/>
  <c r="R49" i="5"/>
  <c r="T71" i="4"/>
  <c r="U68" i="5"/>
  <c r="B49" i="3"/>
  <c r="Q27" i="3"/>
  <c r="G4" i="4"/>
  <c r="T119" i="6"/>
  <c r="F60" i="5"/>
  <c r="Q144" i="7"/>
  <c r="C42" i="5"/>
  <c r="R20" i="5"/>
  <c r="B39" i="12"/>
  <c r="V106" i="8"/>
  <c r="V114" i="6"/>
  <c r="V46" i="3"/>
  <c r="C46" i="8"/>
  <c r="D21" i="10"/>
  <c r="F27" i="8"/>
  <c r="V77" i="10"/>
  <c r="B57" i="6"/>
  <c r="V17" i="8"/>
  <c r="R140" i="8"/>
  <c r="V63" i="7"/>
  <c r="U120" i="10"/>
  <c r="U9" i="7"/>
  <c r="G40" i="6"/>
  <c r="T45" i="9"/>
  <c r="G35" i="4"/>
  <c r="G35" i="8"/>
  <c r="V61" i="11"/>
  <c r="T101" i="7"/>
  <c r="D32" i="10"/>
  <c r="S83" i="6"/>
  <c r="Q120" i="6"/>
  <c r="D57" i="8"/>
  <c r="R137" i="6"/>
  <c r="B35" i="4"/>
  <c r="Q65" i="4"/>
  <c r="F43" i="7"/>
  <c r="T75" i="11"/>
  <c r="R38" i="7"/>
  <c r="V27" i="10"/>
  <c r="R108" i="3"/>
  <c r="Q49" i="10"/>
  <c r="R30" i="3"/>
  <c r="Q40" i="7"/>
  <c r="R35" i="5"/>
  <c r="D31" i="12"/>
  <c r="E4" i="11"/>
  <c r="D15" i="5"/>
  <c r="Q17" i="5"/>
  <c r="D53" i="8"/>
  <c r="C20" i="11"/>
  <c r="U53" i="9"/>
  <c r="T6" i="11"/>
  <c r="S87" i="3"/>
  <c r="U113" i="7"/>
  <c r="D62" i="8"/>
  <c r="T51" i="3"/>
  <c r="T11" i="8"/>
  <c r="B18" i="6"/>
  <c r="R69" i="8"/>
  <c r="V7" i="5"/>
  <c r="T24" i="7"/>
  <c r="T4" i="10"/>
  <c r="C31" i="11"/>
  <c r="S132" i="6"/>
  <c r="V139" i="9"/>
  <c r="T111" i="11"/>
  <c r="R13" i="8"/>
  <c r="R7" i="7"/>
  <c r="D46" i="11"/>
  <c r="B53" i="9"/>
  <c r="V108" i="6"/>
  <c r="T86" i="5"/>
  <c r="R101" i="4"/>
  <c r="D8" i="5"/>
  <c r="S78" i="6"/>
  <c r="S113" i="11"/>
  <c r="S78" i="4"/>
  <c r="D15" i="9"/>
  <c r="G63" i="4"/>
  <c r="U9" i="11"/>
  <c r="V113" i="5"/>
  <c r="S149" i="7"/>
  <c r="G16" i="3"/>
  <c r="V4" i="7"/>
  <c r="R112" i="11"/>
  <c r="Q30" i="6"/>
  <c r="U18" i="10"/>
  <c r="T105" i="9"/>
  <c r="S96" i="8"/>
  <c r="R133" i="4"/>
  <c r="T65" i="12"/>
  <c r="E20" i="4"/>
  <c r="S134" i="12"/>
  <c r="R18" i="9"/>
  <c r="V94" i="6"/>
  <c r="C18" i="10"/>
  <c r="S122" i="8"/>
  <c r="T62" i="9"/>
  <c r="D43" i="4"/>
  <c r="B48" i="3"/>
  <c r="F17" i="11"/>
  <c r="G7" i="9"/>
  <c r="F53" i="4"/>
  <c r="D42" i="11"/>
  <c r="E41" i="6"/>
  <c r="B6" i="10"/>
  <c r="S33" i="7"/>
  <c r="Q117" i="10"/>
  <c r="C11" i="12"/>
  <c r="V59" i="5"/>
  <c r="Q12" i="5"/>
  <c r="Q41" i="11"/>
  <c r="R128" i="8"/>
  <c r="V24" i="11"/>
  <c r="F24" i="10"/>
  <c r="F9" i="8"/>
  <c r="C6" i="7"/>
  <c r="B3" i="5"/>
  <c r="D43" i="8"/>
  <c r="S5" i="10"/>
  <c r="Q96" i="3"/>
  <c r="R130" i="4"/>
  <c r="C28" i="6"/>
  <c r="B45" i="6"/>
  <c r="R71" i="4"/>
  <c r="B57" i="8"/>
  <c r="G53" i="7"/>
  <c r="U20" i="11"/>
  <c r="T138" i="12"/>
  <c r="S32" i="9"/>
  <c r="Q43" i="3"/>
  <c r="B25" i="7"/>
  <c r="V8" i="6"/>
  <c r="S138" i="10"/>
  <c r="U22" i="11"/>
  <c r="S123" i="9"/>
  <c r="Q84" i="6"/>
  <c r="V20" i="5"/>
  <c r="U27" i="3"/>
  <c r="V100" i="3"/>
  <c r="C15" i="10"/>
  <c r="G5" i="5"/>
  <c r="E10" i="9"/>
  <c r="R18" i="8"/>
  <c r="U55" i="11"/>
  <c r="D41" i="10"/>
  <c r="Q116" i="7"/>
  <c r="Q36" i="3"/>
  <c r="Q105" i="4"/>
  <c r="T56" i="3"/>
  <c r="F17" i="4"/>
  <c r="B23" i="8"/>
  <c r="Q22" i="9"/>
  <c r="R37" i="6"/>
  <c r="Q78" i="8"/>
  <c r="V88" i="3"/>
  <c r="B26" i="12"/>
  <c r="Q127" i="12"/>
  <c r="R44" i="4"/>
  <c r="T116" i="8"/>
  <c r="V129" i="11"/>
  <c r="U119" i="4"/>
  <c r="R144" i="3"/>
  <c r="D47" i="5"/>
  <c r="B39" i="8"/>
  <c r="B52" i="6"/>
  <c r="R65" i="8"/>
  <c r="T139" i="6"/>
  <c r="R11" i="4"/>
  <c r="Q43" i="6"/>
  <c r="R63" i="9"/>
  <c r="E18" i="9"/>
  <c r="S94" i="11"/>
  <c r="V54" i="5"/>
  <c r="T100" i="12"/>
  <c r="T39" i="11"/>
  <c r="G24" i="5"/>
  <c r="F25" i="6"/>
  <c r="V142" i="5"/>
  <c r="G36" i="12"/>
  <c r="U13" i="4"/>
  <c r="V118" i="11"/>
  <c r="R88" i="8"/>
  <c r="U80" i="4"/>
  <c r="V94" i="8"/>
  <c r="U14" i="5"/>
  <c r="E25" i="9"/>
  <c r="R6" i="10"/>
  <c r="B57" i="12"/>
  <c r="U127" i="4"/>
  <c r="S144" i="4"/>
  <c r="S40" i="4"/>
  <c r="B27" i="9"/>
  <c r="Q19" i="3"/>
  <c r="U135" i="3"/>
  <c r="T122" i="6"/>
  <c r="V147" i="9"/>
  <c r="D39" i="5"/>
  <c r="Q3" i="4"/>
  <c r="T119" i="3"/>
  <c r="B25" i="4"/>
  <c r="R58" i="10"/>
  <c r="V114" i="8"/>
  <c r="R66" i="6"/>
  <c r="E48" i="3"/>
  <c r="R55" i="4"/>
  <c r="Q37" i="5"/>
  <c r="T50" i="8"/>
  <c r="T9" i="6"/>
  <c r="B51" i="4"/>
  <c r="C34" i="3"/>
  <c r="U4" i="12"/>
  <c r="B19" i="4"/>
  <c r="C48" i="6"/>
  <c r="Q32" i="7"/>
  <c r="C57" i="8"/>
  <c r="G33" i="11"/>
  <c r="Q38" i="10"/>
  <c r="Q30" i="5"/>
  <c r="B37" i="10"/>
  <c r="S123" i="6"/>
  <c r="V62" i="3"/>
  <c r="U99" i="6"/>
  <c r="D58" i="8"/>
  <c r="V108" i="3"/>
  <c r="Q150" i="8"/>
  <c r="E43" i="9"/>
  <c r="T32" i="9"/>
  <c r="G63" i="10"/>
  <c r="S21" i="6"/>
  <c r="T85" i="9"/>
  <c r="T88" i="4"/>
  <c r="F25" i="4"/>
  <c r="R27" i="11"/>
  <c r="R129" i="3"/>
  <c r="B16" i="8"/>
  <c r="T48" i="7"/>
  <c r="R79" i="10"/>
  <c r="Q85" i="4"/>
  <c r="S140" i="3"/>
  <c r="V116" i="6"/>
  <c r="F20" i="11"/>
  <c r="R114" i="7"/>
  <c r="E32" i="5"/>
  <c r="R89" i="10"/>
  <c r="S125" i="4"/>
  <c r="V13" i="7"/>
  <c r="Q21" i="12"/>
  <c r="R14" i="10"/>
  <c r="S131" i="7"/>
  <c r="F7" i="8"/>
  <c r="Q145" i="9"/>
  <c r="D27" i="6"/>
  <c r="S136" i="9"/>
  <c r="F17" i="9"/>
  <c r="U150" i="8"/>
  <c r="U68" i="3"/>
  <c r="R105" i="6"/>
  <c r="C4" i="11"/>
  <c r="T118" i="6"/>
  <c r="F24" i="5"/>
  <c r="G29" i="5"/>
  <c r="S81" i="7"/>
  <c r="U10" i="4"/>
  <c r="B37" i="4"/>
  <c r="Q114" i="7"/>
  <c r="T124" i="10"/>
  <c r="E28" i="9"/>
  <c r="R144" i="10"/>
  <c r="G63" i="8"/>
  <c r="T128" i="6"/>
  <c r="C37" i="9"/>
  <c r="T105" i="7"/>
  <c r="S10" i="7"/>
  <c r="T73" i="6"/>
  <c r="F33" i="7"/>
  <c r="E23" i="11"/>
  <c r="F35" i="10"/>
  <c r="G20" i="10"/>
  <c r="Q18" i="12"/>
  <c r="S22" i="4"/>
  <c r="Q16" i="5"/>
  <c r="C4" i="12"/>
  <c r="F58" i="11"/>
  <c r="S107" i="7"/>
  <c r="Q110" i="11"/>
  <c r="V3" i="3"/>
  <c r="C12" i="7"/>
  <c r="V46" i="6"/>
  <c r="R123" i="7"/>
  <c r="E42" i="12"/>
  <c r="U126" i="7"/>
  <c r="B63" i="10"/>
  <c r="B17" i="11"/>
  <c r="R43" i="7"/>
  <c r="S6" i="4"/>
  <c r="C25" i="10"/>
  <c r="Q125" i="10"/>
  <c r="E23" i="7"/>
  <c r="U8" i="10"/>
  <c r="U127" i="3"/>
  <c r="U38" i="6"/>
  <c r="G61" i="8"/>
  <c r="V4" i="5"/>
  <c r="S138" i="3"/>
  <c r="F53" i="7"/>
  <c r="F10" i="12"/>
  <c r="G31" i="12"/>
  <c r="Q137" i="8"/>
  <c r="V27" i="5"/>
  <c r="S138" i="4"/>
  <c r="V83" i="4"/>
  <c r="U79" i="10"/>
  <c r="R34" i="11"/>
  <c r="V125" i="10"/>
  <c r="B40" i="11"/>
  <c r="Q71" i="7"/>
  <c r="S69" i="4"/>
  <c r="B39" i="3"/>
  <c r="R49" i="6"/>
  <c r="T17" i="9"/>
  <c r="S34" i="8"/>
  <c r="F13" i="7"/>
  <c r="F41" i="12"/>
  <c r="Q55" i="12"/>
  <c r="U137" i="7"/>
  <c r="T94" i="9"/>
  <c r="Q21" i="5"/>
  <c r="T8" i="5"/>
  <c r="R13" i="3"/>
  <c r="R69" i="5"/>
  <c r="S111" i="6"/>
  <c r="T44" i="7"/>
  <c r="V44" i="6"/>
  <c r="T22" i="6"/>
  <c r="C41" i="6"/>
  <c r="T104" i="12"/>
  <c r="S15" i="7"/>
  <c r="U32" i="5"/>
  <c r="T13" i="5"/>
  <c r="Q66" i="12"/>
  <c r="Q44" i="8"/>
  <c r="D34" i="11"/>
  <c r="Q139" i="10"/>
  <c r="E38" i="12"/>
  <c r="E14" i="6"/>
  <c r="B17" i="10"/>
  <c r="Q150" i="7"/>
  <c r="R82" i="11"/>
  <c r="U15" i="10"/>
  <c r="V43" i="4"/>
  <c r="D15" i="6"/>
  <c r="S110" i="10"/>
  <c r="Q141" i="6"/>
  <c r="T148" i="5"/>
  <c r="B61" i="6"/>
  <c r="R47" i="4"/>
  <c r="V109" i="4"/>
  <c r="U37" i="9"/>
  <c r="S116" i="5"/>
  <c r="F53" i="10"/>
  <c r="S55" i="10"/>
  <c r="V108" i="7"/>
  <c r="E19" i="3"/>
  <c r="E47" i="4"/>
  <c r="B41" i="10"/>
  <c r="Q66" i="3"/>
  <c r="D18" i="8"/>
  <c r="T77" i="4"/>
  <c r="V123" i="7"/>
  <c r="E37" i="9"/>
  <c r="U5" i="12"/>
  <c r="D47" i="4"/>
  <c r="R22" i="3"/>
  <c r="T37" i="11"/>
  <c r="Q124" i="3"/>
  <c r="R134" i="7"/>
  <c r="U145" i="12"/>
  <c r="T137" i="5"/>
  <c r="G58" i="8"/>
  <c r="D51" i="12"/>
  <c r="S14" i="4"/>
  <c r="U46" i="6"/>
  <c r="B24" i="12"/>
  <c r="V134" i="11"/>
  <c r="S42" i="9"/>
  <c r="U65" i="3"/>
  <c r="F53" i="12"/>
  <c r="F62" i="12"/>
  <c r="V34" i="10"/>
  <c r="U49" i="8"/>
  <c r="D9" i="9"/>
  <c r="U72" i="3"/>
  <c r="V145" i="8"/>
  <c r="G30" i="11"/>
  <c r="R70" i="12"/>
  <c r="Q22" i="7"/>
  <c r="U11" i="8"/>
  <c r="B58" i="8"/>
  <c r="R85" i="5"/>
  <c r="E44" i="11"/>
  <c r="F15" i="12"/>
  <c r="Q91" i="7"/>
  <c r="T7" i="6"/>
  <c r="D63" i="12"/>
  <c r="S25" i="12"/>
  <c r="Q49" i="12"/>
  <c r="R84" i="3"/>
  <c r="S57" i="5"/>
  <c r="Q58" i="3"/>
  <c r="F18" i="10"/>
  <c r="U36" i="9"/>
  <c r="G27" i="12"/>
  <c r="F33" i="9"/>
  <c r="C44" i="9"/>
  <c r="V148" i="12"/>
  <c r="R144" i="9"/>
  <c r="G30" i="12"/>
  <c r="C36" i="8"/>
  <c r="B21" i="8"/>
  <c r="R135" i="3"/>
  <c r="B8" i="4"/>
  <c r="G63" i="9"/>
  <c r="T83" i="4"/>
  <c r="F62" i="10"/>
  <c r="S129" i="4"/>
  <c r="S46" i="8"/>
  <c r="R120" i="8"/>
  <c r="U99" i="4"/>
  <c r="D41" i="8"/>
  <c r="R19" i="3"/>
  <c r="F44" i="11"/>
  <c r="F63" i="11"/>
  <c r="R27" i="8"/>
  <c r="Q8" i="10"/>
  <c r="G59" i="10"/>
  <c r="R109" i="10"/>
  <c r="U53" i="7"/>
  <c r="S13" i="8"/>
  <c r="Q107" i="6"/>
  <c r="Q114" i="12"/>
  <c r="V6" i="9"/>
  <c r="U5" i="9"/>
  <c r="U7" i="4"/>
  <c r="D17" i="9"/>
  <c r="D4" i="9"/>
  <c r="R23" i="5"/>
  <c r="B29" i="8"/>
  <c r="F16" i="10"/>
  <c r="Q95" i="4"/>
  <c r="C58" i="4"/>
  <c r="U102" i="3"/>
  <c r="C31" i="3"/>
  <c r="T109" i="7"/>
  <c r="E30" i="6"/>
  <c r="U3" i="9"/>
  <c r="S90" i="3"/>
  <c r="G30" i="8"/>
  <c r="C56" i="4"/>
  <c r="U4" i="11"/>
  <c r="R58" i="12"/>
  <c r="R17" i="9"/>
  <c r="U12" i="12"/>
  <c r="S52" i="12"/>
  <c r="Q70" i="5"/>
  <c r="F18" i="12"/>
  <c r="U54" i="9"/>
  <c r="E62" i="12"/>
  <c r="C34" i="10"/>
  <c r="C44" i="6"/>
  <c r="F35" i="7"/>
  <c r="R85" i="3"/>
  <c r="C59" i="12"/>
  <c r="G32" i="11"/>
  <c r="T44" i="3"/>
  <c r="Q115" i="7"/>
  <c r="S7" i="12"/>
  <c r="T13" i="4"/>
  <c r="U70" i="4"/>
  <c r="G43" i="8"/>
  <c r="Q112" i="3"/>
  <c r="Q19" i="5"/>
  <c r="S60" i="7"/>
  <c r="F25" i="9"/>
  <c r="U110" i="3"/>
  <c r="T139" i="8"/>
  <c r="S72" i="3"/>
  <c r="E51" i="11"/>
  <c r="D26" i="6"/>
  <c r="V99" i="4"/>
  <c r="U34" i="5"/>
  <c r="U33" i="10"/>
  <c r="T141" i="4"/>
  <c r="E29" i="4"/>
  <c r="T125" i="7"/>
  <c r="R63" i="6"/>
  <c r="T78" i="3"/>
  <c r="U6" i="3"/>
  <c r="R50" i="4"/>
  <c r="C30" i="12"/>
  <c r="F58" i="12"/>
  <c r="D24" i="5"/>
  <c r="T89" i="6"/>
  <c r="T74" i="9"/>
  <c r="R53" i="3"/>
  <c r="R14" i="11"/>
  <c r="T140" i="11"/>
  <c r="B48" i="5"/>
  <c r="U63" i="4"/>
  <c r="D48" i="4"/>
  <c r="E20" i="5"/>
  <c r="F62" i="5"/>
  <c r="G51" i="4"/>
  <c r="T15" i="10"/>
  <c r="B19" i="10"/>
  <c r="B62" i="10"/>
  <c r="S60" i="5"/>
  <c r="U107" i="5"/>
  <c r="R119" i="9"/>
  <c r="V139" i="11"/>
  <c r="E53" i="4"/>
  <c r="V47" i="3"/>
  <c r="C16" i="8"/>
  <c r="T90" i="11"/>
  <c r="D24" i="11"/>
  <c r="V86" i="12"/>
  <c r="S60" i="11"/>
  <c r="S146" i="7"/>
  <c r="R114" i="11"/>
  <c r="D11" i="6"/>
  <c r="R132" i="4"/>
  <c r="V32" i="3"/>
  <c r="Q4" i="10"/>
  <c r="U57" i="10"/>
  <c r="C53" i="11"/>
  <c r="R137" i="3"/>
  <c r="G48" i="3"/>
  <c r="T142" i="8"/>
  <c r="F17" i="10"/>
  <c r="B33" i="6"/>
  <c r="R100" i="10"/>
  <c r="R47" i="3"/>
  <c r="F58" i="10"/>
  <c r="T19" i="5"/>
  <c r="D48" i="11"/>
  <c r="S18" i="4"/>
  <c r="U56" i="11"/>
  <c r="F63" i="7"/>
  <c r="G26" i="4"/>
  <c r="Q76" i="4"/>
  <c r="V24" i="6"/>
  <c r="E5" i="7"/>
  <c r="V135" i="6"/>
  <c r="S68" i="12"/>
  <c r="E51" i="3"/>
  <c r="R150" i="10"/>
  <c r="T43" i="6"/>
  <c r="R136" i="7"/>
  <c r="F56" i="3"/>
  <c r="V88" i="7"/>
  <c r="V8" i="3"/>
  <c r="V19" i="7"/>
  <c r="C37" i="8"/>
  <c r="U117" i="3"/>
  <c r="T41" i="11"/>
  <c r="Q133" i="9"/>
  <c r="R4" i="8"/>
  <c r="D29" i="4"/>
  <c r="B48" i="4"/>
  <c r="S46" i="10"/>
  <c r="R3" i="5"/>
  <c r="R124" i="11"/>
  <c r="U27" i="4"/>
  <c r="U25" i="11"/>
  <c r="U9" i="9"/>
  <c r="R37" i="5"/>
  <c r="E63" i="8"/>
  <c r="D50" i="12"/>
  <c r="S50" i="6"/>
  <c r="Q110" i="8"/>
  <c r="R23" i="11"/>
  <c r="E24" i="11"/>
  <c r="S11" i="6"/>
  <c r="T74" i="10"/>
  <c r="G51" i="3"/>
  <c r="S106" i="12"/>
  <c r="B31" i="9"/>
  <c r="D19" i="3"/>
  <c r="T60" i="9"/>
  <c r="S4" i="4"/>
  <c r="Q76" i="3"/>
  <c r="C53" i="6"/>
  <c r="R73" i="7"/>
  <c r="E44" i="4"/>
  <c r="V97" i="6"/>
  <c r="Q71" i="8"/>
  <c r="S135" i="7"/>
  <c r="V3" i="4"/>
  <c r="S84" i="6"/>
  <c r="Q25" i="6"/>
  <c r="V39" i="8"/>
  <c r="V5" i="4"/>
  <c r="V130" i="7"/>
  <c r="V80" i="3"/>
  <c r="S55" i="9"/>
  <c r="U44" i="3"/>
  <c r="T148" i="9"/>
  <c r="V43" i="5"/>
  <c r="S79" i="3"/>
  <c r="S43" i="8"/>
  <c r="F37" i="4"/>
  <c r="R26" i="5"/>
  <c r="Q115" i="6"/>
  <c r="E52" i="5"/>
  <c r="Q104" i="11"/>
  <c r="U93" i="7"/>
  <c r="D59" i="3"/>
  <c r="C63" i="10"/>
  <c r="F27" i="4"/>
  <c r="U116" i="7"/>
  <c r="V16" i="6"/>
  <c r="C56" i="10"/>
  <c r="F59" i="8"/>
  <c r="G38" i="6"/>
  <c r="U74" i="6"/>
  <c r="T61" i="4"/>
  <c r="U121" i="3"/>
  <c r="U20" i="7"/>
  <c r="E34" i="6"/>
  <c r="E11" i="11"/>
  <c r="R26" i="9"/>
  <c r="D32" i="9"/>
  <c r="R83" i="8"/>
  <c r="V43" i="8"/>
  <c r="Q56" i="6"/>
  <c r="S99" i="3"/>
  <c r="B51" i="10"/>
  <c r="V65" i="12"/>
  <c r="T54" i="3"/>
  <c r="G51" i="8"/>
  <c r="R70" i="11"/>
  <c r="C39" i="7"/>
  <c r="S82" i="12"/>
  <c r="U145" i="9"/>
  <c r="Q7" i="7"/>
  <c r="R17" i="4"/>
  <c r="G48" i="9"/>
  <c r="C47" i="4"/>
  <c r="F12" i="7"/>
  <c r="R77" i="10"/>
  <c r="T47" i="5"/>
  <c r="R32" i="11"/>
  <c r="V18" i="5"/>
  <c r="G29" i="8"/>
  <c r="D6" i="7"/>
  <c r="V51" i="12"/>
  <c r="U11" i="10"/>
  <c r="V79" i="3"/>
  <c r="S116" i="4"/>
  <c r="C4" i="10"/>
  <c r="U80" i="3"/>
  <c r="C51" i="12"/>
  <c r="S119" i="3"/>
  <c r="Q88" i="8"/>
  <c r="B59" i="10"/>
  <c r="V138" i="8"/>
  <c r="T96" i="11"/>
  <c r="D12" i="8"/>
  <c r="T54" i="12"/>
  <c r="S145" i="6"/>
  <c r="R123" i="12"/>
  <c r="R67" i="10"/>
  <c r="U61" i="7"/>
  <c r="V79" i="12"/>
  <c r="U65" i="8"/>
  <c r="V130" i="11"/>
  <c r="B44" i="4"/>
  <c r="B5" i="9"/>
  <c r="C23" i="5"/>
  <c r="V109" i="3"/>
  <c r="S134" i="8"/>
  <c r="S21" i="4"/>
  <c r="B25" i="9"/>
  <c r="C31" i="7"/>
  <c r="Q78" i="9"/>
  <c r="Q5" i="9"/>
  <c r="R118" i="3"/>
  <c r="V125" i="3"/>
  <c r="S17" i="5"/>
  <c r="F8" i="3"/>
  <c r="F22" i="9"/>
  <c r="U36" i="11"/>
  <c r="G50" i="6"/>
  <c r="T55" i="6"/>
  <c r="T26" i="5"/>
  <c r="Q10" i="11"/>
  <c r="Q145" i="3"/>
  <c r="U23" i="7"/>
  <c r="E57" i="7"/>
  <c r="T39" i="7"/>
  <c r="Q62" i="10"/>
  <c r="R106" i="8"/>
  <c r="E8" i="9"/>
  <c r="U77" i="4"/>
  <c r="V124" i="4"/>
  <c r="F46" i="8"/>
  <c r="U4" i="8"/>
  <c r="T61" i="8"/>
  <c r="T97" i="4"/>
  <c r="V77" i="4"/>
  <c r="B33" i="4"/>
  <c r="R62" i="3"/>
  <c r="E23" i="3"/>
  <c r="Q129" i="8"/>
  <c r="G21" i="11"/>
  <c r="G29" i="11"/>
  <c r="T138" i="3"/>
  <c r="T135" i="4"/>
  <c r="U5" i="3"/>
  <c r="S146" i="9"/>
  <c r="S89" i="5"/>
  <c r="S149" i="5"/>
  <c r="S85" i="6"/>
  <c r="R68" i="10"/>
  <c r="V115" i="3"/>
  <c r="U83" i="6"/>
  <c r="T137" i="10"/>
  <c r="S86" i="12"/>
  <c r="S11" i="10"/>
  <c r="D31" i="10"/>
  <c r="E6" i="4"/>
  <c r="R67" i="4"/>
  <c r="U138" i="8"/>
  <c r="R111" i="9"/>
  <c r="Q62" i="9"/>
  <c r="S47" i="9"/>
  <c r="T52" i="7"/>
  <c r="S30" i="3"/>
  <c r="U146" i="10"/>
  <c r="R101" i="9"/>
  <c r="Q68" i="8"/>
  <c r="U50" i="11"/>
  <c r="R88" i="5"/>
  <c r="Q86" i="6"/>
  <c r="U93" i="12"/>
  <c r="V96" i="9"/>
  <c r="T30" i="7"/>
  <c r="R84" i="4"/>
  <c r="T116" i="12"/>
  <c r="R3" i="11"/>
  <c r="R24" i="3"/>
  <c r="V146" i="7"/>
  <c r="V12" i="9"/>
  <c r="S82" i="8"/>
  <c r="T87" i="5"/>
  <c r="V82" i="8"/>
  <c r="S15" i="9"/>
  <c r="U17" i="10"/>
  <c r="U77" i="5"/>
  <c r="R133" i="7"/>
  <c r="Q132" i="4"/>
  <c r="T88" i="9"/>
  <c r="Q117" i="8"/>
  <c r="Q56" i="9"/>
  <c r="V89" i="3"/>
  <c r="U60" i="8"/>
  <c r="G15" i="12"/>
  <c r="V43" i="7"/>
  <c r="V120" i="11"/>
  <c r="T45" i="3"/>
  <c r="Q21" i="9"/>
  <c r="V39" i="10"/>
  <c r="U26" i="12"/>
  <c r="Q65" i="9"/>
  <c r="S118" i="6"/>
  <c r="V120" i="6"/>
  <c r="C11" i="8"/>
  <c r="B23" i="10"/>
  <c r="U8" i="12"/>
  <c r="U14" i="10"/>
  <c r="U89" i="9"/>
  <c r="S118" i="10"/>
  <c r="V33" i="3"/>
  <c r="Q124" i="9"/>
  <c r="V149" i="3"/>
  <c r="T121" i="12"/>
  <c r="T18" i="6"/>
  <c r="T144" i="6"/>
  <c r="Q133" i="5"/>
  <c r="T135" i="10"/>
  <c r="V104" i="8"/>
  <c r="S100" i="4"/>
  <c r="V135" i="5"/>
  <c r="Q133" i="10"/>
  <c r="C9" i="3"/>
  <c r="V11" i="6"/>
  <c r="S146" i="10"/>
  <c r="S144" i="10"/>
  <c r="Q141" i="11"/>
  <c r="U65" i="6"/>
  <c r="Q66" i="6"/>
  <c r="U141" i="8"/>
  <c r="U141" i="3"/>
  <c r="V142" i="11"/>
  <c r="Q87" i="12"/>
  <c r="V104" i="9"/>
  <c r="U74" i="9"/>
  <c r="T67" i="7"/>
  <c r="F28" i="8"/>
  <c r="T143" i="8"/>
  <c r="U89" i="6"/>
  <c r="B46" i="8"/>
  <c r="R70" i="5"/>
  <c r="Q57" i="7"/>
  <c r="T118" i="8"/>
  <c r="T93" i="12"/>
  <c r="V91" i="11"/>
  <c r="Q115" i="11"/>
  <c r="S112" i="11"/>
  <c r="T26" i="6"/>
  <c r="R90" i="10"/>
  <c r="D19" i="6"/>
  <c r="Q39" i="4"/>
  <c r="Q97" i="12"/>
  <c r="G23" i="10"/>
  <c r="F10" i="6"/>
  <c r="U41" i="7"/>
  <c r="T69" i="6"/>
  <c r="S101" i="9"/>
  <c r="T57" i="11"/>
  <c r="V100" i="12"/>
  <c r="V97" i="4"/>
  <c r="R44" i="11"/>
  <c r="V31" i="7"/>
  <c r="U107" i="11"/>
  <c r="V64" i="10"/>
  <c r="V132" i="3"/>
  <c r="R53" i="4"/>
  <c r="R50" i="5"/>
  <c r="U97" i="8"/>
  <c r="S89" i="12"/>
  <c r="Q116" i="3"/>
  <c r="U77" i="9"/>
  <c r="R39" i="5"/>
  <c r="V64" i="9"/>
  <c r="U118" i="9"/>
  <c r="G23" i="12"/>
  <c r="Q145" i="4"/>
  <c r="V122" i="11"/>
  <c r="V49" i="12"/>
  <c r="F6" i="8"/>
  <c r="U55" i="9"/>
  <c r="Q134" i="12"/>
  <c r="S82" i="4"/>
  <c r="R38" i="12"/>
  <c r="V98" i="7"/>
  <c r="R56" i="3"/>
  <c r="U44" i="7"/>
  <c r="T39" i="6"/>
  <c r="T122" i="7"/>
  <c r="V42" i="9"/>
  <c r="Q74" i="7"/>
  <c r="S32" i="6"/>
  <c r="E51" i="8"/>
  <c r="U123" i="3"/>
  <c r="R48" i="10"/>
  <c r="U31" i="11"/>
  <c r="V124" i="8"/>
  <c r="R43" i="12"/>
  <c r="V137" i="12"/>
  <c r="B24" i="11"/>
  <c r="B41" i="8"/>
  <c r="Q108" i="11"/>
  <c r="R67" i="8"/>
  <c r="S62" i="7"/>
  <c r="S69" i="5"/>
  <c r="T125" i="11"/>
  <c r="F42" i="10"/>
  <c r="R132" i="12"/>
  <c r="S33" i="12"/>
  <c r="T74" i="5"/>
  <c r="S61" i="7"/>
  <c r="T149" i="8"/>
  <c r="E27" i="8"/>
  <c r="R122" i="6"/>
  <c r="E23" i="5"/>
  <c r="R129" i="12"/>
  <c r="Q114" i="8"/>
  <c r="Q121" i="10"/>
  <c r="S75" i="7"/>
  <c r="U53" i="8"/>
  <c r="T95" i="3"/>
  <c r="U144" i="12"/>
  <c r="U127" i="9"/>
  <c r="T78" i="7"/>
  <c r="U83" i="3"/>
  <c r="T104" i="9"/>
  <c r="S88" i="7"/>
  <c r="S141" i="3"/>
  <c r="Q82" i="9"/>
  <c r="T78" i="5"/>
  <c r="T69" i="3"/>
  <c r="R90" i="12"/>
  <c r="C38" i="11"/>
  <c r="V137" i="11"/>
  <c r="T141" i="8"/>
  <c r="F8" i="11"/>
  <c r="D27" i="12"/>
  <c r="U128" i="10"/>
  <c r="S131" i="9"/>
  <c r="T139" i="10"/>
  <c r="Q32" i="11"/>
  <c r="T145" i="3"/>
  <c r="V41" i="11"/>
  <c r="R37" i="11"/>
  <c r="R127" i="9"/>
  <c r="R79" i="8"/>
  <c r="T73" i="11"/>
  <c r="T72" i="4"/>
  <c r="U116" i="9"/>
  <c r="Q109" i="11"/>
  <c r="U106" i="9"/>
  <c r="Q50" i="12"/>
  <c r="Q107" i="4"/>
  <c r="S49" i="8"/>
  <c r="V139" i="4"/>
  <c r="D34" i="4"/>
  <c r="R106" i="11"/>
  <c r="Q59" i="11"/>
  <c r="B49" i="7"/>
  <c r="S72" i="10"/>
  <c r="B55" i="8"/>
  <c r="Q130" i="7"/>
  <c r="S111" i="3"/>
  <c r="R137" i="11"/>
  <c r="V51" i="8"/>
  <c r="U53" i="3"/>
  <c r="Q81" i="9"/>
  <c r="T32" i="11"/>
  <c r="T123" i="12"/>
  <c r="V75" i="10"/>
  <c r="R44" i="5"/>
  <c r="G5" i="6"/>
  <c r="R83" i="3"/>
  <c r="Q89" i="8"/>
  <c r="S144" i="12"/>
  <c r="B48" i="7"/>
  <c r="T10" i="3"/>
  <c r="V45" i="9"/>
  <c r="R53" i="7"/>
  <c r="V129" i="10"/>
  <c r="U45" i="8"/>
  <c r="V92" i="6"/>
  <c r="Q126" i="3"/>
  <c r="R129" i="8"/>
  <c r="S70" i="11"/>
  <c r="T130" i="11"/>
  <c r="Q57" i="11"/>
  <c r="Q63" i="7"/>
  <c r="S107" i="12"/>
  <c r="U48" i="5"/>
  <c r="V38" i="12"/>
  <c r="R109" i="12"/>
  <c r="S86" i="5"/>
  <c r="V141" i="12"/>
  <c r="U69" i="11"/>
  <c r="S94" i="9"/>
  <c r="V64" i="8"/>
  <c r="R101" i="11"/>
  <c r="U123" i="7"/>
  <c r="T103" i="7"/>
  <c r="V39" i="11"/>
  <c r="V100" i="6"/>
  <c r="Q50" i="11"/>
  <c r="Q94" i="12"/>
  <c r="U146" i="6"/>
  <c r="S58" i="5"/>
  <c r="V147" i="5"/>
  <c r="U84" i="4"/>
  <c r="V120" i="9"/>
  <c r="R121" i="3"/>
  <c r="S46" i="12"/>
  <c r="V134" i="10"/>
  <c r="Q109" i="8"/>
  <c r="T66" i="11"/>
  <c r="V20" i="6"/>
  <c r="U108" i="7"/>
  <c r="G20" i="8"/>
  <c r="Q14" i="4"/>
  <c r="D61" i="9"/>
  <c r="R126" i="12"/>
  <c r="S6" i="11"/>
  <c r="D25" i="5"/>
  <c r="F19" i="8"/>
  <c r="B41" i="7"/>
  <c r="U112" i="10"/>
  <c r="S24" i="9"/>
  <c r="C60" i="9"/>
  <c r="B38" i="11"/>
  <c r="U135" i="4"/>
  <c r="S131" i="6"/>
  <c r="S15" i="10"/>
  <c r="Q138" i="12"/>
  <c r="V67" i="8"/>
  <c r="S114" i="8"/>
  <c r="R109" i="3"/>
  <c r="E47" i="9"/>
  <c r="T107" i="10"/>
  <c r="Q51" i="9"/>
  <c r="U149" i="6"/>
  <c r="Q135" i="5"/>
  <c r="F60" i="7"/>
  <c r="F19" i="4"/>
  <c r="F24" i="6"/>
  <c r="U99" i="5"/>
  <c r="S127" i="11"/>
  <c r="S126" i="12"/>
  <c r="D25" i="8"/>
  <c r="V71" i="7"/>
  <c r="R100" i="12"/>
  <c r="V27" i="6"/>
  <c r="Q46" i="7"/>
  <c r="G29" i="10"/>
  <c r="T49" i="11"/>
  <c r="D45" i="9"/>
  <c r="S133" i="12"/>
  <c r="U116" i="12"/>
  <c r="V45" i="12"/>
  <c r="C56" i="3"/>
  <c r="V31" i="4"/>
  <c r="V111" i="10"/>
  <c r="U145" i="4"/>
  <c r="S143" i="5"/>
  <c r="S69" i="12"/>
  <c r="R55" i="12"/>
  <c r="S116" i="10"/>
  <c r="U111" i="6"/>
  <c r="R145" i="12"/>
  <c r="T105" i="4"/>
  <c r="U139" i="11"/>
  <c r="Q98" i="12"/>
  <c r="S150" i="12"/>
  <c r="V49" i="7"/>
  <c r="R98" i="12"/>
  <c r="T83" i="5"/>
  <c r="E21" i="10"/>
  <c r="R115" i="3"/>
  <c r="S58" i="4"/>
  <c r="Q142" i="9"/>
  <c r="V106" i="12"/>
  <c r="U46" i="4"/>
  <c r="R136" i="9"/>
  <c r="Q131" i="11"/>
  <c r="R15" i="11"/>
  <c r="U74" i="8"/>
  <c r="S12" i="5"/>
  <c r="C9" i="12"/>
  <c r="U56" i="6"/>
  <c r="D16" i="4"/>
  <c r="R59" i="11"/>
  <c r="R82" i="4"/>
  <c r="T3" i="6"/>
  <c r="V139" i="12"/>
  <c r="T60" i="3"/>
  <c r="U105" i="4"/>
  <c r="R73" i="11"/>
  <c r="R115" i="9"/>
  <c r="T31" i="10"/>
  <c r="T50" i="6"/>
  <c r="S75" i="6"/>
  <c r="E56" i="12"/>
  <c r="T85" i="10"/>
  <c r="S46" i="11"/>
  <c r="D22" i="12"/>
  <c r="V108" i="12"/>
  <c r="C48" i="9"/>
  <c r="T44" i="11"/>
  <c r="S128" i="12"/>
  <c r="V108" i="8"/>
  <c r="V51" i="10"/>
  <c r="R53" i="5"/>
  <c r="E30" i="10"/>
  <c r="T120" i="12"/>
  <c r="S85" i="7"/>
  <c r="Q91" i="4"/>
  <c r="R139" i="11"/>
  <c r="R68" i="9"/>
  <c r="V50" i="12"/>
  <c r="C31" i="10"/>
  <c r="S115" i="11"/>
  <c r="R61" i="10"/>
  <c r="S74" i="5"/>
  <c r="T97" i="11"/>
  <c r="S125" i="12"/>
  <c r="S41" i="10"/>
  <c r="D35" i="5"/>
  <c r="T129" i="3"/>
  <c r="U150" i="9"/>
  <c r="R49" i="7"/>
  <c r="Q115" i="12"/>
  <c r="V58" i="3"/>
  <c r="R46" i="11"/>
  <c r="Q131" i="10"/>
  <c r="R79" i="11"/>
  <c r="T62" i="7"/>
  <c r="Q76" i="10"/>
  <c r="D25" i="7"/>
  <c r="V49" i="3"/>
  <c r="C40" i="12"/>
  <c r="R58" i="5"/>
  <c r="S21" i="8"/>
  <c r="V69" i="8"/>
  <c r="R69" i="10"/>
  <c r="V137" i="8"/>
  <c r="T47" i="10"/>
  <c r="R52" i="12"/>
  <c r="V58" i="5"/>
  <c r="R56" i="6"/>
  <c r="R43" i="9"/>
  <c r="R117" i="11"/>
  <c r="R96" i="8"/>
  <c r="Q121" i="12"/>
  <c r="V62" i="5"/>
  <c r="R58" i="3"/>
  <c r="T36" i="10"/>
  <c r="V90" i="12"/>
  <c r="C51" i="6"/>
  <c r="R80" i="11"/>
  <c r="U133" i="3"/>
  <c r="R41" i="10"/>
  <c r="T31" i="12"/>
  <c r="C3" i="7"/>
  <c r="B22" i="12"/>
  <c r="R127" i="6"/>
  <c r="T75" i="10"/>
  <c r="E21" i="11"/>
  <c r="D3" i="12"/>
  <c r="U71" i="12"/>
  <c r="C62" i="3"/>
  <c r="V69" i="4"/>
  <c r="Q52" i="7"/>
  <c r="R42" i="9"/>
  <c r="Q118" i="4"/>
  <c r="R46" i="9"/>
  <c r="U142" i="10"/>
  <c r="U128" i="8"/>
  <c r="V111" i="11"/>
  <c r="R62" i="4"/>
  <c r="T76" i="4"/>
  <c r="U149" i="11"/>
  <c r="U118" i="3"/>
  <c r="Q143" i="10"/>
  <c r="Q137" i="9"/>
  <c r="Q129" i="7"/>
  <c r="U126" i="5"/>
  <c r="U112" i="6"/>
  <c r="U123" i="10"/>
  <c r="S120" i="6"/>
  <c r="D35" i="6"/>
  <c r="U85" i="7"/>
  <c r="V27" i="7"/>
  <c r="Q146" i="12"/>
  <c r="V12" i="7"/>
  <c r="U117" i="6"/>
  <c r="T117" i="11"/>
  <c r="S110" i="5"/>
  <c r="C21" i="4"/>
  <c r="Q72" i="8"/>
  <c r="B53" i="8"/>
  <c r="Q42" i="7"/>
  <c r="R112" i="8"/>
  <c r="S94" i="10"/>
  <c r="V47" i="9"/>
  <c r="U144" i="7"/>
  <c r="U59" i="11"/>
  <c r="V131" i="12"/>
  <c r="S67" i="7"/>
  <c r="C22" i="11"/>
  <c r="T35" i="9"/>
  <c r="E40" i="11"/>
  <c r="G8" i="5"/>
  <c r="V108" i="4"/>
  <c r="V35" i="11"/>
  <c r="F30" i="8"/>
  <c r="U131" i="4"/>
  <c r="E6" i="12"/>
  <c r="V73" i="12"/>
  <c r="G26" i="9"/>
  <c r="T21" i="12"/>
  <c r="V122" i="6"/>
  <c r="V63" i="10"/>
  <c r="Q114" i="3"/>
  <c r="T102" i="8"/>
  <c r="R94" i="6"/>
  <c r="T36" i="12"/>
  <c r="U15" i="11"/>
  <c r="V72" i="4"/>
  <c r="Q131" i="7"/>
  <c r="S37" i="9"/>
  <c r="S7" i="6"/>
  <c r="V69" i="7"/>
  <c r="V22" i="9"/>
  <c r="V103" i="11"/>
  <c r="V135" i="10"/>
  <c r="V10" i="6"/>
  <c r="Q86" i="12"/>
  <c r="V45" i="4"/>
  <c r="V38" i="9"/>
  <c r="T84" i="12"/>
  <c r="T80" i="11"/>
  <c r="T22" i="7"/>
  <c r="V31" i="12"/>
  <c r="R134" i="11"/>
  <c r="S67" i="12"/>
  <c r="E34" i="8"/>
  <c r="C43" i="8"/>
  <c r="B15" i="11"/>
  <c r="R55" i="3"/>
  <c r="Q91" i="12"/>
  <c r="R45" i="8"/>
  <c r="R78" i="10"/>
  <c r="D51" i="10"/>
  <c r="V122" i="4"/>
  <c r="Q106" i="11"/>
  <c r="V62" i="6"/>
  <c r="S23" i="11"/>
  <c r="V150" i="6"/>
  <c r="S113" i="10"/>
  <c r="R97" i="3"/>
  <c r="T129" i="5"/>
  <c r="R136" i="4"/>
  <c r="T53" i="12"/>
  <c r="G4" i="12"/>
  <c r="V111" i="3"/>
  <c r="T65" i="7"/>
  <c r="V73" i="8"/>
  <c r="U82" i="12"/>
  <c r="B38" i="9"/>
  <c r="T105" i="10"/>
  <c r="U143" i="7"/>
  <c r="U103" i="10"/>
  <c r="V35" i="10"/>
  <c r="T16" i="5"/>
  <c r="S135" i="4"/>
  <c r="F31" i="4"/>
  <c r="U98" i="9"/>
  <c r="U102" i="6"/>
  <c r="T30" i="8"/>
  <c r="U51" i="5"/>
  <c r="V40" i="12"/>
  <c r="C47" i="6"/>
  <c r="V64" i="11"/>
  <c r="V44" i="12"/>
  <c r="T144" i="3"/>
  <c r="V133" i="5"/>
  <c r="S23" i="12"/>
  <c r="E13" i="4"/>
  <c r="S51" i="4"/>
  <c r="V52" i="4"/>
  <c r="Q138" i="8"/>
  <c r="T51" i="6"/>
  <c r="Q95" i="9"/>
  <c r="E39" i="8"/>
  <c r="U108" i="4"/>
  <c r="S44" i="5"/>
  <c r="R133" i="12"/>
  <c r="U58" i="11"/>
  <c r="Q102" i="11"/>
  <c r="R16" i="5"/>
  <c r="Q45" i="6"/>
  <c r="V57" i="7"/>
  <c r="V119" i="9"/>
  <c r="S8" i="5"/>
  <c r="B58" i="5"/>
  <c r="Q69" i="4"/>
  <c r="R60" i="10"/>
  <c r="B26" i="11"/>
  <c r="Q40" i="8"/>
  <c r="R37" i="8"/>
  <c r="V56" i="10"/>
  <c r="Q87" i="10"/>
  <c r="R56" i="10"/>
  <c r="B20" i="9"/>
  <c r="U63" i="5"/>
  <c r="Q6" i="7"/>
  <c r="G3" i="12"/>
  <c r="V40" i="10"/>
  <c r="Q103" i="12"/>
  <c r="V51" i="9"/>
  <c r="R101" i="10"/>
  <c r="V95" i="3"/>
  <c r="F57" i="10"/>
  <c r="G33" i="12"/>
  <c r="C59" i="3"/>
  <c r="E17" i="9"/>
  <c r="G45" i="10"/>
  <c r="E57" i="8"/>
  <c r="E55" i="10"/>
  <c r="S118" i="9"/>
  <c r="U121" i="6"/>
  <c r="S50" i="12"/>
  <c r="T125" i="10"/>
  <c r="B19" i="7"/>
  <c r="T144" i="7"/>
  <c r="R19" i="5"/>
  <c r="R56" i="5"/>
  <c r="Q111" i="9"/>
  <c r="T86" i="10"/>
  <c r="R98" i="6"/>
  <c r="Q141" i="7"/>
  <c r="Q46" i="4"/>
  <c r="T96" i="9"/>
  <c r="R145" i="7"/>
  <c r="T7" i="5"/>
  <c r="U101" i="7"/>
  <c r="T88" i="3"/>
  <c r="U120" i="9"/>
  <c r="R67" i="7"/>
  <c r="U63" i="8"/>
  <c r="E7" i="10"/>
  <c r="Q21" i="11"/>
  <c r="Q33" i="3"/>
  <c r="T143" i="9"/>
  <c r="R127" i="7"/>
  <c r="S17" i="3"/>
  <c r="T149" i="6"/>
  <c r="U91" i="9"/>
  <c r="V118" i="3"/>
  <c r="U102" i="9"/>
  <c r="T115" i="9"/>
  <c r="S63" i="4"/>
  <c r="B61" i="7"/>
  <c r="Q126" i="7"/>
  <c r="G44" i="10"/>
  <c r="S44" i="10"/>
  <c r="Q143" i="5"/>
  <c r="U132" i="12"/>
  <c r="R74" i="10"/>
  <c r="T121" i="11"/>
  <c r="E44" i="8"/>
  <c r="Q92" i="7"/>
  <c r="U98" i="3"/>
  <c r="Q83" i="11"/>
  <c r="T36" i="11"/>
  <c r="V93" i="11"/>
  <c r="S117" i="8"/>
  <c r="R78" i="12"/>
  <c r="E11" i="8"/>
  <c r="R101" i="8"/>
  <c r="U64" i="6"/>
  <c r="V99" i="10"/>
  <c r="V50" i="10"/>
  <c r="T147" i="9"/>
  <c r="S24" i="8"/>
  <c r="Q75" i="12"/>
  <c r="S95" i="10"/>
  <c r="S109" i="11"/>
  <c r="U44" i="8"/>
  <c r="F10" i="10"/>
  <c r="T99" i="4"/>
  <c r="T65" i="9"/>
  <c r="B15" i="4"/>
  <c r="R9" i="8"/>
  <c r="S75" i="11"/>
  <c r="T59" i="3"/>
  <c r="R35" i="8"/>
  <c r="V142" i="3"/>
  <c r="Q121" i="6"/>
  <c r="R76" i="8"/>
  <c r="S71" i="6"/>
  <c r="S55" i="7"/>
  <c r="V131" i="11"/>
  <c r="Q70" i="6"/>
  <c r="C61" i="11"/>
  <c r="U124" i="7"/>
  <c r="V33" i="5"/>
  <c r="R87" i="4"/>
  <c r="T131" i="7"/>
  <c r="E50" i="7"/>
  <c r="U121" i="7"/>
  <c r="D40" i="4"/>
  <c r="U11" i="3"/>
  <c r="V147" i="11"/>
  <c r="T140" i="7"/>
  <c r="R26" i="6"/>
  <c r="T145" i="12"/>
  <c r="S93" i="7"/>
  <c r="U112" i="7"/>
  <c r="C47" i="5"/>
  <c r="V87" i="6"/>
  <c r="D42" i="8"/>
  <c r="S121" i="8"/>
  <c r="T102" i="5"/>
  <c r="D54" i="5"/>
  <c r="Q133" i="12"/>
  <c r="Q7" i="5"/>
  <c r="V49" i="8"/>
  <c r="R121" i="12"/>
  <c r="F57" i="8"/>
  <c r="Q112" i="12"/>
  <c r="T51" i="9"/>
  <c r="T108" i="9"/>
  <c r="T80" i="9"/>
  <c r="E36" i="9"/>
  <c r="G22" i="10"/>
  <c r="V21" i="12"/>
  <c r="T40" i="12"/>
  <c r="R51" i="7"/>
  <c r="S64" i="7"/>
  <c r="V65" i="11"/>
  <c r="S69" i="7"/>
  <c r="V58" i="4"/>
  <c r="R7" i="9"/>
  <c r="E11" i="12"/>
  <c r="T82" i="12"/>
  <c r="S44" i="7"/>
  <c r="V150" i="8"/>
  <c r="V85" i="6"/>
  <c r="U123" i="6"/>
  <c r="T64" i="3"/>
  <c r="V22" i="6"/>
  <c r="U119" i="10"/>
  <c r="T7" i="12"/>
  <c r="Q132" i="11"/>
  <c r="R126" i="9"/>
  <c r="R51" i="11"/>
  <c r="Q70" i="12"/>
  <c r="D17" i="6"/>
  <c r="V11" i="4"/>
  <c r="D24" i="6"/>
  <c r="V136" i="5"/>
  <c r="G52" i="9"/>
  <c r="Q112" i="7"/>
  <c r="F48" i="12"/>
  <c r="U46" i="3"/>
  <c r="F63" i="12"/>
  <c r="T15" i="3"/>
  <c r="S85" i="8"/>
  <c r="V40" i="5"/>
  <c r="R79" i="12"/>
  <c r="Q116" i="8"/>
  <c r="V112" i="5"/>
  <c r="Q77" i="3"/>
  <c r="U82" i="11"/>
  <c r="Q117" i="7"/>
  <c r="T37" i="9"/>
  <c r="T53" i="9"/>
  <c r="S81" i="6"/>
  <c r="T79" i="8"/>
  <c r="S86" i="6"/>
  <c r="Q105" i="6"/>
  <c r="U147" i="8"/>
  <c r="T66" i="6"/>
  <c r="G37" i="12"/>
  <c r="V89" i="9"/>
  <c r="S73" i="9"/>
  <c r="D23" i="3"/>
  <c r="V18" i="11"/>
  <c r="V134" i="4"/>
  <c r="S67" i="9"/>
  <c r="Q135" i="8"/>
  <c r="T102" i="4"/>
  <c r="B51" i="3"/>
  <c r="T132" i="7"/>
  <c r="F3" i="6"/>
  <c r="U66" i="12"/>
  <c r="R110" i="4"/>
  <c r="T80" i="4"/>
  <c r="S48" i="11"/>
  <c r="Q94" i="10"/>
  <c r="C27" i="4"/>
  <c r="V141" i="7"/>
  <c r="V99" i="7"/>
  <c r="U129" i="7"/>
  <c r="D44" i="6"/>
  <c r="U103" i="5"/>
  <c r="U46" i="8"/>
  <c r="V140" i="12"/>
  <c r="U50" i="4"/>
  <c r="V143" i="12"/>
  <c r="S75" i="5"/>
  <c r="Q79" i="10"/>
  <c r="S74" i="11"/>
  <c r="R5" i="9"/>
  <c r="U70" i="10"/>
  <c r="U106" i="5"/>
  <c r="T137" i="4"/>
  <c r="Q143" i="8"/>
  <c r="D40" i="11"/>
  <c r="S123" i="7"/>
  <c r="U88" i="9"/>
  <c r="U107" i="7"/>
  <c r="S150" i="4"/>
  <c r="V115" i="5"/>
  <c r="T62" i="6"/>
  <c r="U120" i="11"/>
  <c r="U124" i="8"/>
  <c r="D62" i="11"/>
  <c r="U76" i="11"/>
  <c r="S89" i="8"/>
  <c r="S56" i="6"/>
  <c r="Q112" i="9"/>
  <c r="Q8" i="9"/>
  <c r="U79" i="6"/>
  <c r="U77" i="12"/>
  <c r="S105" i="3"/>
  <c r="Q44" i="9"/>
  <c r="S54" i="7"/>
  <c r="R38" i="4"/>
  <c r="R129" i="9"/>
  <c r="S111" i="12"/>
  <c r="B27" i="10"/>
  <c r="V120" i="7"/>
  <c r="S150" i="8"/>
  <c r="Q47" i="10"/>
  <c r="S35" i="10"/>
  <c r="V130" i="12"/>
  <c r="B15" i="12"/>
  <c r="R54" i="6"/>
  <c r="V19" i="6"/>
  <c r="R105" i="9"/>
  <c r="G38" i="11"/>
  <c r="U10" i="9"/>
  <c r="Q58" i="10"/>
  <c r="R54" i="8"/>
  <c r="T100" i="10"/>
  <c r="T138" i="11"/>
  <c r="R31" i="8"/>
  <c r="C60" i="6"/>
  <c r="U76" i="4"/>
  <c r="U41" i="9"/>
  <c r="R121" i="10"/>
  <c r="T10" i="7"/>
  <c r="F30" i="12"/>
  <c r="V145" i="11"/>
  <c r="V87" i="12"/>
  <c r="T145" i="5"/>
  <c r="G45" i="12"/>
  <c r="S12" i="4"/>
  <c r="Q143" i="12"/>
  <c r="U109" i="5"/>
  <c r="G23" i="9"/>
  <c r="V33" i="7"/>
  <c r="Q60" i="5"/>
  <c r="Q86" i="4"/>
  <c r="Q119" i="8"/>
  <c r="F47" i="5"/>
  <c r="T40" i="4"/>
  <c r="Q147" i="11"/>
  <c r="Q49" i="6"/>
  <c r="D53" i="9"/>
  <c r="R79" i="6"/>
  <c r="U26" i="4"/>
  <c r="S67" i="8"/>
  <c r="R25" i="4"/>
  <c r="R99" i="6"/>
  <c r="Q4" i="7"/>
  <c r="C19" i="3"/>
  <c r="Q51" i="11"/>
  <c r="T121" i="7"/>
  <c r="Q85" i="8"/>
  <c r="Q47" i="4"/>
  <c r="E24" i="3"/>
  <c r="R32" i="7"/>
  <c r="V43" i="11"/>
  <c r="R118" i="7"/>
  <c r="U30" i="10"/>
  <c r="S64" i="8"/>
  <c r="S144" i="9"/>
  <c r="U39" i="4"/>
  <c r="R5" i="11"/>
  <c r="R68" i="5"/>
  <c r="Q54" i="3"/>
  <c r="R7" i="3"/>
  <c r="V60" i="10"/>
  <c r="Q4" i="11"/>
  <c r="C44" i="11"/>
  <c r="E37" i="7"/>
  <c r="T95" i="9"/>
  <c r="B21" i="10"/>
  <c r="C63" i="8"/>
  <c r="R104" i="4"/>
  <c r="V16" i="12"/>
  <c r="R147" i="8"/>
  <c r="F14" i="12"/>
  <c r="T133" i="3"/>
  <c r="Q34" i="11"/>
  <c r="V14" i="5"/>
  <c r="S94" i="5"/>
  <c r="U33" i="9"/>
  <c r="T129" i="10"/>
  <c r="V72" i="8"/>
  <c r="T70" i="9"/>
  <c r="R118" i="10"/>
  <c r="U125" i="5"/>
  <c r="V116" i="10"/>
  <c r="U77" i="10"/>
  <c r="G19" i="12"/>
  <c r="U115" i="4"/>
  <c r="E29" i="12"/>
  <c r="Q33" i="4"/>
  <c r="Q19" i="12"/>
  <c r="F16" i="5"/>
  <c r="S106" i="11"/>
  <c r="F52" i="4"/>
  <c r="U119" i="11"/>
  <c r="T104" i="4"/>
  <c r="T148" i="6"/>
  <c r="R112" i="9"/>
  <c r="G40" i="5"/>
  <c r="U101" i="8"/>
  <c r="U55" i="10"/>
  <c r="Q55" i="7"/>
  <c r="R148" i="8"/>
  <c r="Q95" i="10"/>
  <c r="Q6" i="12"/>
  <c r="U119" i="3"/>
  <c r="Q40" i="10"/>
  <c r="R119" i="5"/>
  <c r="Q123" i="7"/>
  <c r="T53" i="3"/>
  <c r="B60" i="4"/>
  <c r="S120" i="12"/>
  <c r="S108" i="4"/>
  <c r="T88" i="5"/>
  <c r="U121" i="9"/>
  <c r="B24" i="5"/>
  <c r="T142" i="5"/>
  <c r="T31" i="6"/>
  <c r="D39" i="9"/>
  <c r="U133" i="5"/>
  <c r="T21" i="7"/>
  <c r="S117" i="5"/>
  <c r="F62" i="3"/>
  <c r="G42" i="6"/>
  <c r="D10" i="3"/>
  <c r="Q51" i="6"/>
  <c r="S55" i="5"/>
  <c r="U54" i="6"/>
  <c r="E17" i="4"/>
  <c r="S135" i="3"/>
  <c r="T38" i="11"/>
  <c r="V116" i="12"/>
  <c r="V53" i="12"/>
  <c r="S57" i="8"/>
  <c r="B4" i="9"/>
  <c r="S49" i="6"/>
  <c r="S84" i="5"/>
  <c r="T126" i="12"/>
  <c r="T109" i="9"/>
  <c r="U136" i="6"/>
  <c r="F5" i="7"/>
  <c r="C45" i="10"/>
  <c r="V149" i="4"/>
  <c r="T40" i="11"/>
  <c r="D41" i="7"/>
  <c r="S103" i="9"/>
  <c r="S34" i="3"/>
  <c r="Q99" i="9"/>
  <c r="G31" i="6"/>
  <c r="U134" i="3"/>
  <c r="S39" i="12"/>
  <c r="T133" i="9"/>
  <c r="V120" i="4"/>
  <c r="D5" i="3"/>
  <c r="S82" i="9"/>
  <c r="R35" i="10"/>
  <c r="T145" i="11"/>
  <c r="F16" i="11"/>
  <c r="R117" i="5"/>
  <c r="Q83" i="4"/>
  <c r="V52" i="12"/>
  <c r="G49" i="9"/>
  <c r="S49" i="10"/>
  <c r="D4" i="8"/>
  <c r="S131" i="3"/>
  <c r="G47" i="4"/>
  <c r="U87" i="9"/>
  <c r="D19" i="10"/>
  <c r="V119" i="12"/>
  <c r="R86" i="8"/>
  <c r="V88" i="8"/>
  <c r="T66" i="12"/>
  <c r="V55" i="4"/>
  <c r="C38" i="12"/>
  <c r="Q54" i="8"/>
  <c r="R65" i="11"/>
  <c r="V138" i="11"/>
  <c r="E59" i="3"/>
  <c r="G32" i="3"/>
  <c r="R120" i="3"/>
  <c r="R5" i="7"/>
  <c r="E43" i="5"/>
  <c r="G11" i="8"/>
  <c r="V34" i="3"/>
  <c r="Q27" i="5"/>
  <c r="G38" i="5"/>
  <c r="R149" i="10"/>
  <c r="B6" i="4"/>
  <c r="Q17" i="6"/>
  <c r="D16" i="3"/>
  <c r="E5" i="11"/>
  <c r="T134" i="9"/>
  <c r="R95" i="7"/>
  <c r="V130" i="4"/>
  <c r="F31" i="3"/>
  <c r="T62" i="12"/>
  <c r="F42" i="12"/>
  <c r="V146" i="8"/>
  <c r="V27" i="4"/>
  <c r="S69" i="11"/>
  <c r="R137" i="8"/>
  <c r="F50" i="9"/>
  <c r="T103" i="12"/>
  <c r="T98" i="10"/>
  <c r="U17" i="6"/>
  <c r="U72" i="11"/>
  <c r="B60" i="10"/>
  <c r="V65" i="4"/>
  <c r="T124" i="11"/>
  <c r="Q18" i="4"/>
  <c r="R76" i="5"/>
  <c r="R41" i="8"/>
  <c r="E40" i="6"/>
  <c r="Q75" i="6"/>
  <c r="Q23" i="4"/>
  <c r="T43" i="7"/>
  <c r="G52" i="12"/>
  <c r="S135" i="10"/>
  <c r="S91" i="5"/>
  <c r="R39" i="12"/>
  <c r="Q27" i="12"/>
  <c r="T112" i="3"/>
  <c r="C19" i="8"/>
  <c r="R118" i="8"/>
  <c r="T102" i="12"/>
  <c r="Q142" i="4"/>
  <c r="G23" i="11"/>
  <c r="U121" i="10"/>
  <c r="T133" i="6"/>
  <c r="R140" i="10"/>
  <c r="E53" i="9"/>
  <c r="R5" i="3"/>
  <c r="Q66" i="10"/>
  <c r="S128" i="8"/>
  <c r="R119" i="7"/>
  <c r="V59" i="12"/>
  <c r="U112" i="4"/>
  <c r="S123" i="4"/>
  <c r="V115" i="8"/>
  <c r="T120" i="6"/>
  <c r="V5" i="12"/>
  <c r="U126" i="9"/>
  <c r="U90" i="9"/>
  <c r="Q89" i="10"/>
  <c r="V99" i="6"/>
  <c r="R108" i="12"/>
  <c r="R15" i="10"/>
  <c r="R146" i="11"/>
  <c r="B7" i="6"/>
  <c r="Q116" i="9"/>
  <c r="R47" i="5"/>
  <c r="B44" i="3"/>
  <c r="Q89" i="5"/>
  <c r="U38" i="8"/>
  <c r="Q41" i="4"/>
  <c r="S77" i="11"/>
  <c r="U138" i="3"/>
  <c r="R47" i="8"/>
  <c r="S150" i="3"/>
  <c r="T73" i="12"/>
  <c r="R90" i="6"/>
  <c r="R59" i="8"/>
  <c r="G40" i="7"/>
  <c r="Q5" i="7"/>
  <c r="T83" i="6"/>
  <c r="C20" i="3"/>
  <c r="B52" i="10"/>
  <c r="F60" i="11"/>
  <c r="T91" i="9"/>
  <c r="S34" i="7"/>
  <c r="C20" i="4"/>
  <c r="T148" i="8"/>
  <c r="C36" i="9"/>
  <c r="Q75" i="7"/>
  <c r="T114" i="3"/>
  <c r="F15" i="5"/>
  <c r="R95" i="8"/>
  <c r="E34" i="12"/>
  <c r="V50" i="6"/>
  <c r="R94" i="8"/>
  <c r="B61" i="4"/>
  <c r="C8" i="3"/>
  <c r="S14" i="8"/>
  <c r="Q34" i="7"/>
  <c r="S106" i="8"/>
  <c r="F12" i="9"/>
  <c r="U119" i="9"/>
  <c r="D9" i="10"/>
  <c r="S66" i="6"/>
  <c r="S123" i="12"/>
  <c r="R73" i="4"/>
  <c r="F37" i="8"/>
  <c r="R95" i="5"/>
  <c r="F58" i="4"/>
  <c r="S39" i="5"/>
  <c r="S9" i="12"/>
  <c r="U51" i="9"/>
  <c r="B63" i="9"/>
  <c r="D61" i="4"/>
  <c r="F10" i="8"/>
  <c r="V130" i="6"/>
  <c r="U126" i="11"/>
  <c r="Q14" i="5"/>
  <c r="T139" i="9"/>
  <c r="D13" i="8"/>
  <c r="V106" i="10"/>
  <c r="F36" i="3"/>
  <c r="S106" i="9"/>
  <c r="G27" i="6"/>
  <c r="Q86" i="11"/>
  <c r="F6" i="5"/>
  <c r="R125" i="10"/>
  <c r="V80" i="10"/>
  <c r="B8" i="5"/>
  <c r="R81" i="4"/>
  <c r="U89" i="7"/>
  <c r="V44" i="9"/>
  <c r="T127" i="3"/>
  <c r="U85" i="8"/>
  <c r="U49" i="12"/>
  <c r="S128" i="7"/>
  <c r="V70" i="7"/>
  <c r="V141" i="6"/>
  <c r="S26" i="10"/>
  <c r="C26" i="11"/>
  <c r="F3" i="11"/>
  <c r="R130" i="12"/>
  <c r="U80" i="5"/>
  <c r="G18" i="8"/>
  <c r="D42" i="10"/>
  <c r="R58" i="11"/>
  <c r="U58" i="9"/>
  <c r="T115" i="11"/>
  <c r="C19" i="9"/>
  <c r="T32" i="5"/>
  <c r="E11" i="9"/>
  <c r="S112" i="4"/>
  <c r="V36" i="10"/>
  <c r="S56" i="11"/>
  <c r="S118" i="4"/>
  <c r="T14" i="7"/>
  <c r="S147" i="8"/>
  <c r="S90" i="10"/>
  <c r="F16" i="7"/>
  <c r="U73" i="3"/>
  <c r="B18" i="5"/>
  <c r="U140" i="5"/>
  <c r="Q125" i="5"/>
  <c r="F55" i="8"/>
  <c r="C59" i="7"/>
  <c r="U59" i="3"/>
  <c r="U128" i="7"/>
  <c r="U66" i="10"/>
  <c r="S70" i="10"/>
  <c r="C20" i="8"/>
  <c r="E52" i="7"/>
  <c r="G25" i="5"/>
  <c r="C5" i="10"/>
  <c r="T85" i="6"/>
  <c r="R109" i="8"/>
  <c r="S48" i="8"/>
  <c r="D18" i="6"/>
  <c r="R77" i="3"/>
  <c r="V46" i="9"/>
  <c r="V54" i="7"/>
  <c r="Q20" i="9"/>
  <c r="S137" i="11"/>
  <c r="Q17" i="11"/>
  <c r="D54" i="8"/>
  <c r="S92" i="6"/>
  <c r="R71" i="9"/>
  <c r="T35" i="11"/>
  <c r="U59" i="4"/>
  <c r="G43" i="12"/>
  <c r="C63" i="12"/>
  <c r="V79" i="9"/>
  <c r="U122" i="7"/>
  <c r="V112" i="7"/>
  <c r="G42" i="12"/>
  <c r="V41" i="6"/>
  <c r="R125" i="3"/>
  <c r="R16" i="8"/>
  <c r="S132" i="10"/>
  <c r="Q55" i="9"/>
  <c r="D61" i="8"/>
  <c r="S24" i="7"/>
  <c r="S94" i="12"/>
  <c r="E46" i="9"/>
  <c r="Q36" i="6"/>
  <c r="R128" i="7"/>
  <c r="R46" i="4"/>
  <c r="Q72" i="11"/>
  <c r="V66" i="3"/>
  <c r="U63" i="11"/>
  <c r="S86" i="8"/>
  <c r="V85" i="11"/>
  <c r="S88" i="4"/>
  <c r="Q101" i="9"/>
  <c r="U45" i="10"/>
  <c r="E62" i="4"/>
  <c r="R40" i="10"/>
  <c r="Q99" i="8"/>
  <c r="C6" i="12"/>
  <c r="V22" i="10"/>
  <c r="R144" i="8"/>
  <c r="U63" i="10"/>
  <c r="S74" i="6"/>
  <c r="T107" i="11"/>
  <c r="V143" i="7"/>
  <c r="Q140" i="11"/>
  <c r="T36" i="8"/>
  <c r="V93" i="12"/>
  <c r="V94" i="11"/>
  <c r="T145" i="9"/>
  <c r="S114" i="9"/>
  <c r="S97" i="12"/>
  <c r="D15" i="3"/>
  <c r="Q35" i="8"/>
  <c r="G43" i="3"/>
  <c r="V44" i="8"/>
  <c r="S22" i="8"/>
  <c r="R71" i="5"/>
  <c r="U124" i="11"/>
  <c r="V25" i="9"/>
  <c r="Q76" i="11"/>
  <c r="Q136" i="11"/>
  <c r="Q57" i="6"/>
  <c r="S134" i="5"/>
  <c r="Q40" i="5"/>
  <c r="R82" i="6"/>
  <c r="Q113" i="8"/>
  <c r="S149" i="12"/>
  <c r="D44" i="8"/>
  <c r="R62" i="6"/>
  <c r="R45" i="9"/>
  <c r="S113" i="8"/>
  <c r="E23" i="9"/>
  <c r="B32" i="12"/>
  <c r="U106" i="4"/>
  <c r="S12" i="11"/>
  <c r="S117" i="12"/>
  <c r="U42" i="8"/>
  <c r="R135" i="5"/>
  <c r="V51" i="5"/>
  <c r="F57" i="9"/>
  <c r="C43" i="11"/>
  <c r="Q44" i="12"/>
  <c r="T9" i="7"/>
  <c r="S61" i="3"/>
  <c r="V80" i="12"/>
  <c r="C53" i="8"/>
  <c r="G62" i="7"/>
  <c r="E47" i="6"/>
  <c r="S32" i="8"/>
  <c r="D8" i="10"/>
  <c r="Q80" i="3"/>
  <c r="T69" i="11"/>
  <c r="D42" i="3"/>
  <c r="G16" i="12"/>
  <c r="B42" i="9"/>
  <c r="V62" i="9"/>
  <c r="V74" i="8"/>
  <c r="S58" i="7"/>
  <c r="R15" i="9"/>
  <c r="R46" i="10"/>
  <c r="C43" i="3"/>
  <c r="T39" i="3"/>
  <c r="Q34" i="5"/>
  <c r="Q47" i="8"/>
  <c r="G46" i="8"/>
  <c r="T25" i="12"/>
  <c r="R51" i="12"/>
  <c r="Q93" i="9"/>
  <c r="Q141" i="5"/>
  <c r="B42" i="12"/>
  <c r="R15" i="12"/>
  <c r="T63" i="12"/>
  <c r="F25" i="10"/>
  <c r="Q105" i="7"/>
  <c r="C54" i="5"/>
  <c r="B23" i="4"/>
  <c r="R8" i="6"/>
  <c r="R23" i="7"/>
  <c r="S111" i="7"/>
  <c r="Q135" i="6"/>
  <c r="U56" i="8"/>
  <c r="V70" i="6"/>
  <c r="Q31" i="8"/>
  <c r="S133" i="7"/>
  <c r="B11" i="9"/>
  <c r="Q56" i="10"/>
  <c r="B6" i="8"/>
  <c r="B45" i="5"/>
  <c r="Q84" i="11"/>
  <c r="F40" i="5"/>
  <c r="S19" i="4"/>
  <c r="R149" i="3"/>
  <c r="T20" i="11"/>
  <c r="S136" i="7"/>
  <c r="U118" i="10"/>
  <c r="S91" i="9"/>
  <c r="Q30" i="12"/>
  <c r="V13" i="5"/>
  <c r="V37" i="6"/>
  <c r="Q22" i="12"/>
  <c r="U92" i="11"/>
  <c r="F5" i="9"/>
  <c r="Q120" i="4"/>
  <c r="V71" i="11"/>
  <c r="S37" i="12"/>
  <c r="C54" i="11"/>
  <c r="S140" i="11"/>
  <c r="U12" i="8"/>
  <c r="T114" i="11"/>
  <c r="V25" i="7"/>
  <c r="B13" i="11"/>
  <c r="T132" i="12"/>
  <c r="R65" i="10"/>
  <c r="R122" i="10"/>
  <c r="G14" i="4"/>
  <c r="T37" i="3"/>
  <c r="R116" i="9"/>
  <c r="B47" i="11"/>
  <c r="R95" i="10"/>
  <c r="U112" i="11"/>
  <c r="S108" i="11"/>
  <c r="S127" i="10"/>
  <c r="Q90" i="8"/>
  <c r="R103" i="3"/>
  <c r="R111" i="12"/>
  <c r="T125" i="8"/>
  <c r="D46" i="12"/>
  <c r="S31" i="12"/>
  <c r="T39" i="5"/>
  <c r="E45" i="5"/>
  <c r="C10" i="7"/>
  <c r="S22" i="11"/>
  <c r="V86" i="5"/>
  <c r="V128" i="7"/>
  <c r="T18" i="5"/>
  <c r="V78" i="8"/>
  <c r="U68" i="4"/>
  <c r="Q27" i="9"/>
  <c r="Q118" i="8"/>
  <c r="U128" i="11"/>
  <c r="U115" i="7"/>
  <c r="V19" i="11"/>
  <c r="Q8" i="4"/>
  <c r="F61" i="9"/>
  <c r="S61" i="10"/>
  <c r="U16" i="3"/>
  <c r="U6" i="12"/>
  <c r="E27" i="9"/>
  <c r="S99" i="12"/>
  <c r="Q46" i="11"/>
  <c r="Q145" i="5"/>
  <c r="E61" i="3"/>
  <c r="Q24" i="5"/>
  <c r="T145" i="7"/>
  <c r="T18" i="10"/>
  <c r="R103" i="6"/>
  <c r="Q3" i="7"/>
  <c r="V96" i="8"/>
  <c r="V63" i="12"/>
  <c r="C20" i="12"/>
  <c r="R137" i="10"/>
  <c r="S97" i="5"/>
  <c r="Q128" i="6"/>
  <c r="R142" i="4"/>
  <c r="S42" i="4"/>
  <c r="R66" i="8"/>
  <c r="S109" i="4"/>
  <c r="U78" i="12"/>
  <c r="R52" i="10"/>
  <c r="R3" i="7"/>
  <c r="S54" i="9"/>
  <c r="R70" i="8"/>
  <c r="V137" i="7"/>
  <c r="S30" i="8"/>
  <c r="F12" i="3"/>
  <c r="R3" i="10"/>
  <c r="Q108" i="4"/>
  <c r="Q7" i="9"/>
  <c r="T10" i="8"/>
  <c r="F53" i="6"/>
  <c r="Q94" i="4"/>
  <c r="B36" i="9"/>
  <c r="S130" i="9"/>
  <c r="S85" i="12"/>
  <c r="V114" i="7"/>
  <c r="S5" i="11"/>
  <c r="F45" i="11"/>
  <c r="U138" i="10"/>
  <c r="R56" i="7"/>
  <c r="T143" i="4"/>
  <c r="D34" i="5"/>
  <c r="B9" i="10"/>
  <c r="U98" i="10"/>
  <c r="V35" i="7"/>
  <c r="Q49" i="11"/>
  <c r="R43" i="5"/>
  <c r="Q33" i="6"/>
  <c r="C45" i="11"/>
  <c r="S41" i="8"/>
  <c r="Q57" i="4"/>
  <c r="C33" i="5"/>
  <c r="U114" i="6"/>
  <c r="U104" i="12"/>
  <c r="B21" i="3"/>
  <c r="G33" i="7"/>
  <c r="S142" i="8"/>
  <c r="C32" i="4"/>
  <c r="U69" i="9"/>
  <c r="T128" i="3"/>
  <c r="S134" i="9"/>
  <c r="B14" i="3"/>
  <c r="S10" i="12"/>
  <c r="C22" i="8"/>
  <c r="V25" i="11"/>
  <c r="Q24" i="11"/>
  <c r="Q109" i="9"/>
  <c r="V142" i="10"/>
  <c r="U50" i="6"/>
  <c r="U96" i="8"/>
  <c r="T150" i="3"/>
  <c r="S148" i="5"/>
  <c r="C11" i="6"/>
  <c r="D45" i="8"/>
  <c r="R75" i="3"/>
  <c r="E36" i="6"/>
  <c r="Q57" i="8"/>
  <c r="S13" i="4"/>
  <c r="F35" i="12"/>
  <c r="Q56" i="7"/>
  <c r="Q60" i="9"/>
  <c r="S116" i="11"/>
  <c r="G26" i="10"/>
  <c r="G53" i="12"/>
  <c r="E20" i="10"/>
  <c r="R18" i="11"/>
  <c r="U72" i="12"/>
  <c r="C8" i="9"/>
  <c r="Q13" i="4"/>
  <c r="U53" i="6"/>
  <c r="R31" i="12"/>
  <c r="U61" i="8"/>
  <c r="R142" i="5"/>
  <c r="G35" i="12"/>
  <c r="R80" i="7"/>
  <c r="G61" i="11"/>
  <c r="G57" i="9"/>
  <c r="T148" i="10"/>
  <c r="V22" i="12"/>
  <c r="V83" i="11"/>
  <c r="G52" i="4"/>
  <c r="D24" i="8"/>
  <c r="G7" i="7"/>
  <c r="U13" i="11"/>
  <c r="G62" i="10"/>
  <c r="B52" i="5"/>
  <c r="R54" i="10"/>
  <c r="R42" i="6"/>
  <c r="T97" i="9"/>
  <c r="G21" i="10"/>
  <c r="G18" i="12"/>
  <c r="T110" i="5"/>
  <c r="V45" i="3"/>
  <c r="U90" i="3"/>
  <c r="Q46" i="6"/>
  <c r="F3" i="8"/>
  <c r="C24" i="11"/>
  <c r="R133" i="10"/>
  <c r="V149" i="11"/>
  <c r="V127" i="7"/>
  <c r="S65" i="11"/>
  <c r="D11" i="9"/>
  <c r="C55" i="6"/>
  <c r="S91" i="3"/>
  <c r="V69" i="11"/>
  <c r="Q7" i="12"/>
  <c r="B41" i="11"/>
  <c r="Q64" i="4"/>
  <c r="S84" i="8"/>
  <c r="C21" i="6"/>
  <c r="R32" i="5"/>
  <c r="S88" i="10"/>
  <c r="T117" i="4"/>
  <c r="S33" i="5"/>
  <c r="R18" i="7"/>
  <c r="R53" i="11"/>
  <c r="V135" i="11"/>
  <c r="Q112" i="10"/>
  <c r="U115" i="11"/>
  <c r="T136" i="10"/>
  <c r="U97" i="3"/>
  <c r="T124" i="4"/>
  <c r="Q130" i="10"/>
  <c r="T11" i="10"/>
  <c r="B54" i="10"/>
  <c r="U38" i="4"/>
  <c r="E16" i="5"/>
  <c r="U138" i="7"/>
  <c r="V130" i="10"/>
  <c r="U83" i="8"/>
  <c r="U103" i="9"/>
  <c r="S62" i="11"/>
  <c r="Q84" i="12"/>
  <c r="G7" i="4"/>
  <c r="Q15" i="3"/>
  <c r="D32" i="3"/>
  <c r="U89" i="10"/>
  <c r="T6" i="8"/>
  <c r="Q66" i="11"/>
  <c r="T69" i="7"/>
  <c r="R14" i="4"/>
  <c r="S70" i="7"/>
  <c r="T24" i="9"/>
  <c r="Q80" i="10"/>
  <c r="U96" i="3"/>
  <c r="T18" i="8"/>
  <c r="S79" i="7"/>
  <c r="G5" i="9"/>
  <c r="U100" i="12"/>
  <c r="F43" i="10"/>
  <c r="G36" i="8"/>
  <c r="U78" i="5"/>
  <c r="T64" i="4"/>
  <c r="U124" i="5"/>
  <c r="Q18" i="9"/>
  <c r="V21" i="9"/>
  <c r="D7" i="9"/>
  <c r="V144" i="7"/>
  <c r="S101" i="11"/>
  <c r="U58" i="4"/>
  <c r="R82" i="5"/>
  <c r="T90" i="7"/>
  <c r="R40" i="9"/>
  <c r="G23" i="3"/>
  <c r="Q119" i="11"/>
  <c r="Q85" i="10"/>
  <c r="V100" i="8"/>
  <c r="R138" i="7"/>
  <c r="R41" i="12"/>
  <c r="S126" i="7"/>
  <c r="B22" i="6"/>
  <c r="F18" i="6"/>
  <c r="E3" i="11"/>
  <c r="V71" i="4"/>
  <c r="Q22" i="8"/>
  <c r="Q85" i="12"/>
  <c r="C6" i="5"/>
  <c r="T110" i="4"/>
  <c r="B13" i="7"/>
  <c r="E35" i="6"/>
  <c r="Q45" i="9"/>
  <c r="R66" i="12"/>
  <c r="R16" i="6"/>
  <c r="S55" i="12"/>
  <c r="R85" i="11"/>
  <c r="V78" i="10"/>
  <c r="T64" i="12"/>
  <c r="R67" i="5"/>
  <c r="T48" i="5"/>
  <c r="R72" i="12"/>
  <c r="U3" i="11"/>
  <c r="C55" i="10"/>
  <c r="B6" i="9"/>
  <c r="E5" i="9"/>
  <c r="R129" i="7"/>
  <c r="C24" i="12"/>
  <c r="T8" i="6"/>
  <c r="S121" i="7"/>
  <c r="E48" i="4"/>
  <c r="T52" i="11"/>
  <c r="U139" i="12"/>
  <c r="T114" i="6"/>
  <c r="U53" i="4"/>
  <c r="C22" i="10"/>
  <c r="Q123" i="5"/>
  <c r="F46" i="5"/>
  <c r="Q117" i="3"/>
  <c r="S122" i="7"/>
  <c r="T100" i="4"/>
  <c r="Q122" i="10"/>
  <c r="U65" i="11"/>
  <c r="V82" i="11"/>
  <c r="U64" i="5"/>
  <c r="Q113" i="11"/>
  <c r="S35" i="9"/>
  <c r="S46" i="6"/>
  <c r="Q36" i="12"/>
  <c r="R140" i="5"/>
  <c r="S137" i="9"/>
  <c r="S26" i="11"/>
  <c r="S68" i="4"/>
  <c r="S99" i="6"/>
  <c r="B8" i="10"/>
  <c r="V63" i="9"/>
  <c r="R82" i="10"/>
  <c r="B10" i="6"/>
  <c r="V140" i="5"/>
  <c r="S145" i="9"/>
  <c r="Q37" i="7"/>
  <c r="Q97" i="10"/>
  <c r="Q94" i="9"/>
  <c r="Q123" i="10"/>
  <c r="R25" i="5"/>
  <c r="U15" i="3"/>
  <c r="G30" i="10"/>
  <c r="V27" i="11"/>
  <c r="Q20" i="3"/>
  <c r="S93" i="5"/>
  <c r="V12" i="4"/>
  <c r="S63" i="10"/>
  <c r="C35" i="12"/>
  <c r="U56" i="5"/>
  <c r="Q14" i="12"/>
  <c r="T79" i="7"/>
  <c r="S102" i="9"/>
  <c r="S47" i="5"/>
  <c r="G9" i="10"/>
  <c r="T144" i="9"/>
  <c r="V140" i="8"/>
  <c r="G23" i="5"/>
  <c r="R104" i="5"/>
  <c r="R107" i="5"/>
  <c r="Q121" i="3"/>
  <c r="R130" i="8"/>
  <c r="R60" i="9"/>
  <c r="R83" i="5"/>
  <c r="Q147" i="9"/>
  <c r="V83" i="12"/>
  <c r="T33" i="11"/>
  <c r="F57" i="3"/>
  <c r="V142" i="6"/>
  <c r="E32" i="4"/>
  <c r="Q86" i="10"/>
  <c r="R45" i="3"/>
  <c r="U71" i="10"/>
  <c r="D52" i="3"/>
  <c r="E51" i="10"/>
  <c r="U43" i="9"/>
  <c r="S138" i="5"/>
  <c r="S18" i="3"/>
  <c r="B14" i="8"/>
  <c r="S100" i="3"/>
  <c r="Q135" i="3"/>
  <c r="V37" i="10"/>
  <c r="T99" i="9"/>
  <c r="R48" i="8"/>
  <c r="S91" i="8"/>
  <c r="R54" i="4"/>
  <c r="S48" i="4"/>
  <c r="U78" i="4"/>
  <c r="T44" i="12"/>
  <c r="G38" i="4"/>
  <c r="F29" i="4"/>
  <c r="U101" i="10"/>
  <c r="Q118" i="5"/>
  <c r="V33" i="9"/>
  <c r="D35" i="12"/>
  <c r="V45" i="5"/>
  <c r="B27" i="5"/>
  <c r="V75" i="11"/>
  <c r="S110" i="3"/>
  <c r="Q30" i="8"/>
  <c r="U129" i="10"/>
  <c r="T133" i="12"/>
  <c r="U69" i="8"/>
  <c r="R103" i="10"/>
  <c r="Q81" i="12"/>
  <c r="S82" i="6"/>
  <c r="V100" i="4"/>
  <c r="U88" i="7"/>
  <c r="T14" i="11"/>
  <c r="V57" i="6"/>
  <c r="V61" i="6"/>
  <c r="V80" i="9"/>
  <c r="F25" i="5"/>
  <c r="S77" i="9"/>
  <c r="B53" i="10"/>
  <c r="T64" i="8"/>
  <c r="T8" i="12"/>
  <c r="E33" i="12"/>
  <c r="Q79" i="8"/>
  <c r="C40" i="8"/>
  <c r="S3" i="8"/>
  <c r="T15" i="12"/>
  <c r="R77" i="11"/>
  <c r="F18" i="9"/>
  <c r="Q108" i="5"/>
  <c r="U125" i="3"/>
  <c r="T109" i="6"/>
  <c r="U46" i="5"/>
  <c r="U130" i="12"/>
  <c r="V17" i="4"/>
  <c r="F9" i="12"/>
  <c r="V107" i="8"/>
  <c r="T110" i="3"/>
  <c r="S114" i="4"/>
  <c r="D24" i="7"/>
  <c r="V37" i="4"/>
  <c r="U143" i="8"/>
  <c r="U146" i="8"/>
  <c r="C12" i="8"/>
  <c r="R129" i="11"/>
  <c r="Q101" i="6"/>
  <c r="U58" i="5"/>
  <c r="U21" i="11"/>
  <c r="R91" i="6"/>
  <c r="S129" i="5"/>
  <c r="S116" i="9"/>
  <c r="U88" i="4"/>
  <c r="E15" i="5"/>
  <c r="V146" i="3"/>
  <c r="Q44" i="11"/>
  <c r="U112" i="12"/>
  <c r="U127" i="7"/>
  <c r="S129" i="3"/>
  <c r="V30" i="9"/>
  <c r="V42" i="7"/>
  <c r="Q127" i="10"/>
  <c r="C27" i="10"/>
  <c r="U81" i="6"/>
  <c r="S54" i="6"/>
  <c r="Q42" i="10"/>
  <c r="R104" i="12"/>
  <c r="U117" i="5"/>
  <c r="S36" i="12"/>
  <c r="C55" i="11"/>
  <c r="V81" i="9"/>
  <c r="F16" i="9"/>
  <c r="U111" i="9"/>
  <c r="Q143" i="3"/>
  <c r="Q104" i="5"/>
  <c r="Q45" i="7"/>
  <c r="S68" i="8"/>
  <c r="R127" i="8"/>
  <c r="T77" i="8"/>
  <c r="V87" i="9"/>
  <c r="T36" i="9"/>
  <c r="F28" i="4"/>
  <c r="U23" i="12"/>
  <c r="V34" i="5"/>
  <c r="Q122" i="8"/>
  <c r="U126" i="3"/>
  <c r="S19" i="6"/>
  <c r="S132" i="9"/>
  <c r="U90" i="6"/>
  <c r="U87" i="3"/>
  <c r="S138" i="9"/>
  <c r="E31" i="11"/>
  <c r="G31" i="4"/>
  <c r="T60" i="6"/>
  <c r="T71" i="3"/>
  <c r="V7" i="7"/>
  <c r="Q15" i="8"/>
  <c r="T109" i="4"/>
  <c r="Q101" i="12"/>
  <c r="C6" i="10"/>
  <c r="R75" i="7"/>
  <c r="T99" i="3"/>
  <c r="V113" i="7"/>
  <c r="E20" i="9"/>
  <c r="Q111" i="11"/>
  <c r="E63" i="7"/>
  <c r="G56" i="5"/>
  <c r="T101" i="6"/>
  <c r="S80" i="5"/>
  <c r="V62" i="10"/>
  <c r="V61" i="7"/>
  <c r="F48" i="3"/>
  <c r="Q76" i="6"/>
  <c r="T41" i="3"/>
  <c r="V50" i="11"/>
  <c r="S5" i="8"/>
  <c r="S50" i="11"/>
  <c r="U71" i="6"/>
  <c r="R98" i="3"/>
  <c r="V101" i="12"/>
  <c r="T38" i="8"/>
  <c r="G28" i="4"/>
  <c r="B25" i="8"/>
  <c r="V80" i="11"/>
  <c r="V116" i="4"/>
  <c r="Q31" i="11"/>
  <c r="D34" i="12"/>
  <c r="D52" i="7"/>
  <c r="S51" i="9"/>
  <c r="V88" i="11"/>
  <c r="R33" i="8"/>
  <c r="T126" i="8"/>
  <c r="U149" i="8"/>
  <c r="G18" i="11"/>
  <c r="F21" i="11"/>
  <c r="S44" i="3"/>
  <c r="F21" i="6"/>
  <c r="F45" i="9"/>
  <c r="S93" i="10"/>
  <c r="Q25" i="7"/>
  <c r="C7" i="7"/>
  <c r="F34" i="8"/>
  <c r="S52" i="8"/>
  <c r="G61" i="4"/>
  <c r="V123" i="10"/>
  <c r="V39" i="9"/>
  <c r="V132" i="12"/>
  <c r="U18" i="5"/>
  <c r="B4" i="5"/>
  <c r="T42" i="12"/>
  <c r="Q125" i="8"/>
  <c r="V43" i="6"/>
  <c r="U47" i="5"/>
  <c r="R22" i="8"/>
  <c r="R104" i="10"/>
  <c r="U102" i="4"/>
  <c r="T30" i="5"/>
  <c r="V150" i="9"/>
  <c r="G16" i="8"/>
  <c r="B53" i="5"/>
  <c r="Q69" i="3"/>
  <c r="R128" i="11"/>
  <c r="V47" i="6"/>
  <c r="B4" i="10"/>
  <c r="G48" i="4"/>
  <c r="Q137" i="10"/>
  <c r="T119" i="9"/>
  <c r="B49" i="5"/>
  <c r="C61" i="12"/>
  <c r="S49" i="5"/>
  <c r="G8" i="4"/>
  <c r="B29" i="11"/>
  <c r="U116" i="6"/>
  <c r="S128" i="9"/>
  <c r="T33" i="8"/>
  <c r="S23" i="6"/>
  <c r="Q104" i="6"/>
  <c r="S99" i="8"/>
  <c r="Q16" i="7"/>
  <c r="U99" i="8"/>
  <c r="V68" i="10"/>
  <c r="S19" i="3"/>
  <c r="S128" i="11"/>
  <c r="Q5" i="3"/>
  <c r="T12" i="5"/>
  <c r="Q16" i="6"/>
  <c r="U65" i="10"/>
  <c r="F49" i="4"/>
  <c r="F33" i="11"/>
  <c r="Q125" i="4"/>
  <c r="B6" i="3"/>
  <c r="C50" i="7"/>
  <c r="V103" i="8"/>
  <c r="V47" i="12"/>
  <c r="R135" i="9"/>
  <c r="U24" i="6"/>
  <c r="T115" i="10"/>
  <c r="S18" i="6"/>
  <c r="G50" i="3"/>
  <c r="E63" i="4"/>
  <c r="U136" i="9"/>
  <c r="Q17" i="8"/>
  <c r="C32" i="11"/>
  <c r="V38" i="4"/>
  <c r="U34" i="4"/>
  <c r="G10" i="7"/>
  <c r="R59" i="6"/>
  <c r="T142" i="3"/>
  <c r="R3" i="3"/>
  <c r="F20" i="12"/>
  <c r="S16" i="11"/>
  <c r="D52" i="10"/>
  <c r="Q144" i="4"/>
  <c r="Q58" i="6"/>
  <c r="U81" i="12"/>
  <c r="T7" i="4"/>
  <c r="S110" i="6"/>
  <c r="Q106" i="4"/>
  <c r="Q93" i="8"/>
  <c r="V91" i="8"/>
  <c r="E16" i="9"/>
  <c r="Q113" i="12"/>
  <c r="U93" i="6"/>
  <c r="R16" i="3"/>
  <c r="Q126" i="4"/>
  <c r="U92" i="4"/>
  <c r="S14" i="6"/>
  <c r="Q57" i="5"/>
  <c r="S97" i="11"/>
  <c r="R128" i="3"/>
  <c r="S43" i="6"/>
  <c r="V140" i="10"/>
  <c r="G45" i="7"/>
  <c r="C8" i="7"/>
  <c r="R135" i="10"/>
  <c r="U3" i="12"/>
  <c r="T138" i="4"/>
  <c r="D37" i="11"/>
  <c r="Q54" i="4"/>
  <c r="T94" i="6"/>
  <c r="B49" i="6"/>
  <c r="R88" i="11"/>
  <c r="T78" i="12"/>
  <c r="T97" i="7"/>
  <c r="Q36" i="11"/>
  <c r="Q135" i="9"/>
  <c r="R102" i="10"/>
  <c r="S148" i="7"/>
  <c r="Q43" i="11"/>
  <c r="E40" i="3"/>
  <c r="T143" i="10"/>
  <c r="R63" i="4"/>
  <c r="G53" i="3"/>
  <c r="U6" i="4"/>
  <c r="U22" i="10"/>
  <c r="S5" i="12"/>
  <c r="G17" i="10"/>
  <c r="V81" i="4"/>
  <c r="E33" i="11"/>
  <c r="V19" i="8"/>
  <c r="T50" i="11"/>
  <c r="T42" i="11"/>
  <c r="C32" i="8"/>
  <c r="T38" i="7"/>
  <c r="V31" i="11"/>
  <c r="U84" i="5"/>
  <c r="U94" i="5"/>
  <c r="B18" i="7"/>
  <c r="R8" i="10"/>
  <c r="U4" i="6"/>
  <c r="B63" i="7"/>
  <c r="V60" i="12"/>
  <c r="T92" i="5"/>
  <c r="R133" i="11"/>
  <c r="V143" i="4"/>
  <c r="E53" i="5"/>
  <c r="F63" i="4"/>
  <c r="D22" i="10"/>
  <c r="R34" i="9"/>
  <c r="R119" i="10"/>
  <c r="T39" i="10"/>
  <c r="T62" i="10"/>
  <c r="U135" i="6"/>
  <c r="T68" i="10"/>
  <c r="R85" i="10"/>
  <c r="G29" i="7"/>
  <c r="G59" i="6"/>
  <c r="U129" i="4"/>
  <c r="V68" i="7"/>
  <c r="D44" i="12"/>
  <c r="S123" i="11"/>
  <c r="U23" i="6"/>
  <c r="U91" i="12"/>
  <c r="T16" i="9"/>
  <c r="R81" i="10"/>
  <c r="U8" i="3"/>
  <c r="R53" i="10"/>
  <c r="R111" i="7"/>
  <c r="E4" i="5"/>
  <c r="R4" i="9"/>
  <c r="S96" i="5"/>
  <c r="C20" i="7"/>
  <c r="U134" i="7"/>
  <c r="V40" i="7"/>
  <c r="C7" i="12"/>
  <c r="U91" i="6"/>
  <c r="S23" i="9"/>
  <c r="F60" i="6"/>
  <c r="B52" i="8"/>
  <c r="T131" i="6"/>
  <c r="D57" i="7"/>
  <c r="T136" i="11"/>
  <c r="V56" i="3"/>
  <c r="S59" i="3"/>
  <c r="U74" i="10"/>
  <c r="S79" i="9"/>
  <c r="S35" i="7"/>
  <c r="R78" i="8"/>
  <c r="S120" i="8"/>
  <c r="D43" i="3"/>
  <c r="R129" i="4"/>
  <c r="D48" i="10"/>
  <c r="S142" i="10"/>
  <c r="G38" i="10"/>
  <c r="R9" i="6"/>
  <c r="T125" i="9"/>
  <c r="S53" i="6"/>
  <c r="E21" i="5"/>
  <c r="E25" i="8"/>
  <c r="S32" i="3"/>
  <c r="C47" i="7"/>
  <c r="R41" i="5"/>
  <c r="V93" i="6"/>
  <c r="S48" i="3"/>
  <c r="G53" i="4"/>
  <c r="S141" i="7"/>
  <c r="V76" i="9"/>
  <c r="V72" i="7"/>
  <c r="F4" i="4"/>
  <c r="R147" i="4"/>
  <c r="V9" i="11"/>
  <c r="E18" i="12"/>
  <c r="F26" i="7"/>
  <c r="R121" i="6"/>
  <c r="T111" i="8"/>
  <c r="V26" i="8"/>
  <c r="U61" i="5"/>
  <c r="U11" i="9"/>
  <c r="R101" i="3"/>
  <c r="Q47" i="5"/>
  <c r="U128" i="4"/>
  <c r="T5" i="12"/>
  <c r="S27" i="6"/>
  <c r="V93" i="9"/>
  <c r="G3" i="9"/>
  <c r="D8" i="3"/>
  <c r="Q53" i="12"/>
  <c r="S27" i="11"/>
  <c r="V149" i="6"/>
  <c r="T20" i="8"/>
  <c r="R127" i="3"/>
  <c r="T47" i="7"/>
  <c r="T137" i="3"/>
  <c r="E30" i="9"/>
  <c r="V20" i="8"/>
  <c r="T33" i="12"/>
  <c r="S58" i="10"/>
  <c r="V96" i="7"/>
  <c r="Q46" i="8"/>
  <c r="T55" i="7"/>
  <c r="Q80" i="9"/>
  <c r="U91" i="3"/>
  <c r="T73" i="10"/>
  <c r="B31" i="10"/>
  <c r="T105" i="8"/>
  <c r="T38" i="12"/>
  <c r="T96" i="8"/>
  <c r="V122" i="5"/>
  <c r="B60" i="12"/>
  <c r="R88" i="7"/>
  <c r="Q107" i="5"/>
  <c r="C17" i="7"/>
  <c r="R57" i="5"/>
  <c r="V104" i="11"/>
  <c r="R57" i="10"/>
  <c r="Q120" i="5"/>
  <c r="S113" i="3"/>
  <c r="Q120" i="7"/>
  <c r="U102" i="7"/>
  <c r="T131" i="4"/>
  <c r="U56" i="10"/>
  <c r="T13" i="10"/>
  <c r="Q109" i="7"/>
  <c r="G10" i="10"/>
  <c r="T25" i="11"/>
  <c r="G38" i="9"/>
  <c r="U91" i="8"/>
  <c r="V94" i="9"/>
  <c r="R100" i="4"/>
  <c r="U124" i="9"/>
  <c r="V129" i="12"/>
  <c r="Q145" i="8"/>
  <c r="R142" i="6"/>
  <c r="Q78" i="3"/>
  <c r="S88" i="5"/>
  <c r="F5" i="8"/>
  <c r="Q98" i="9"/>
  <c r="Q65" i="8"/>
  <c r="U100" i="9"/>
  <c r="Q108" i="9"/>
  <c r="F44" i="12"/>
  <c r="Q63" i="5"/>
  <c r="Q88" i="7"/>
  <c r="V113" i="6"/>
  <c r="V77" i="9"/>
  <c r="F12" i="8"/>
  <c r="D54" i="10"/>
  <c r="U75" i="9"/>
  <c r="U25" i="8"/>
  <c r="R26" i="10"/>
  <c r="V105" i="12"/>
  <c r="T96" i="6"/>
  <c r="B20" i="12"/>
  <c r="S144" i="7"/>
  <c r="V144" i="9"/>
  <c r="U43" i="5"/>
  <c r="T72" i="7"/>
  <c r="V114" i="4"/>
  <c r="G31" i="3"/>
  <c r="S58" i="3"/>
  <c r="T13" i="11"/>
  <c r="S53" i="11"/>
  <c r="T91" i="3"/>
  <c r="U5" i="6"/>
  <c r="V37" i="5"/>
  <c r="U126" i="10"/>
  <c r="C12" i="3"/>
  <c r="T10" i="12"/>
  <c r="S18" i="9"/>
  <c r="T16" i="10"/>
  <c r="R150" i="12"/>
  <c r="Q81" i="4"/>
  <c r="Q77" i="5"/>
  <c r="T23" i="3"/>
  <c r="S61" i="8"/>
  <c r="R128" i="5"/>
  <c r="D21" i="6"/>
  <c r="S65" i="5"/>
  <c r="S10" i="5"/>
  <c r="F7" i="3"/>
  <c r="U136" i="7"/>
  <c r="T78" i="10"/>
  <c r="F50" i="12"/>
  <c r="R134" i="4"/>
  <c r="R40" i="8"/>
  <c r="R20" i="3"/>
  <c r="T89" i="12"/>
  <c r="T48" i="10"/>
  <c r="Q140" i="7"/>
  <c r="Q71" i="9"/>
  <c r="S146" i="8"/>
  <c r="Q133" i="8"/>
  <c r="T22" i="12"/>
  <c r="E62" i="9"/>
  <c r="S73" i="3"/>
  <c r="S118" i="11"/>
  <c r="U82" i="7"/>
  <c r="T125" i="4"/>
  <c r="V121" i="5"/>
  <c r="R23" i="9"/>
  <c r="E19" i="12"/>
  <c r="D10" i="10"/>
  <c r="U44" i="9"/>
  <c r="R8" i="7"/>
  <c r="G33" i="9"/>
  <c r="F57" i="6"/>
  <c r="F14" i="5"/>
  <c r="R33" i="9"/>
  <c r="T56" i="4"/>
  <c r="D18" i="12"/>
  <c r="T47" i="9"/>
  <c r="S115" i="5"/>
  <c r="R42" i="10"/>
  <c r="F7" i="5"/>
  <c r="Q68" i="6"/>
  <c r="V20" i="12"/>
  <c r="T41" i="5"/>
  <c r="V128" i="5"/>
  <c r="S17" i="8"/>
  <c r="R65" i="5"/>
  <c r="S44" i="4"/>
  <c r="Q46" i="5"/>
  <c r="T15" i="7"/>
  <c r="D8" i="12"/>
  <c r="G36" i="6"/>
  <c r="G38" i="8"/>
  <c r="T64" i="5"/>
  <c r="T11" i="5"/>
  <c r="S39" i="9"/>
  <c r="Q125" i="11"/>
  <c r="V133" i="9"/>
  <c r="E31" i="10"/>
  <c r="R90" i="9"/>
  <c r="C25" i="11"/>
  <c r="S146" i="6"/>
  <c r="V13" i="11"/>
  <c r="T113" i="9"/>
  <c r="D25" i="11"/>
  <c r="D26" i="9"/>
  <c r="R20" i="6"/>
  <c r="R38" i="8"/>
  <c r="U52" i="3"/>
  <c r="Q19" i="9"/>
  <c r="D3" i="4"/>
  <c r="Q75" i="9"/>
  <c r="U79" i="12"/>
  <c r="U122" i="11"/>
  <c r="U112" i="3"/>
  <c r="G7" i="11"/>
  <c r="V121" i="11"/>
  <c r="R146" i="12"/>
  <c r="R32" i="10"/>
  <c r="V53" i="5"/>
  <c r="T59" i="6"/>
  <c r="E37" i="12"/>
  <c r="E5" i="10"/>
  <c r="T30" i="9"/>
  <c r="F59" i="11"/>
  <c r="T118" i="5"/>
  <c r="B55" i="10"/>
  <c r="S87" i="10"/>
  <c r="Q134" i="7"/>
  <c r="R63" i="8"/>
  <c r="B22" i="8"/>
  <c r="T22" i="5"/>
  <c r="S79" i="12"/>
  <c r="S77" i="8"/>
  <c r="T79" i="4"/>
  <c r="V130" i="5"/>
  <c r="B56" i="10"/>
  <c r="T70" i="5"/>
  <c r="Q86" i="9"/>
  <c r="Q37" i="4"/>
  <c r="U69" i="6"/>
  <c r="G55" i="9"/>
  <c r="U8" i="8"/>
  <c r="T23" i="6"/>
  <c r="T115" i="7"/>
  <c r="C45" i="5"/>
  <c r="B20" i="6"/>
  <c r="R105" i="7"/>
  <c r="Q148" i="7"/>
  <c r="C55" i="9"/>
  <c r="T90" i="8"/>
  <c r="D37" i="12"/>
  <c r="Q104" i="9"/>
  <c r="Q126" i="5"/>
  <c r="T98" i="11"/>
  <c r="R3" i="9"/>
  <c r="S136" i="11"/>
  <c r="Q146" i="11"/>
  <c r="E28" i="4"/>
  <c r="V82" i="7"/>
  <c r="S50" i="5"/>
  <c r="T13" i="7"/>
  <c r="B39" i="6"/>
  <c r="T54" i="4"/>
  <c r="B11" i="4"/>
  <c r="Q102" i="9"/>
  <c r="R130" i="3"/>
  <c r="V96" i="12"/>
  <c r="R117" i="12"/>
  <c r="U108" i="12"/>
  <c r="T90" i="3"/>
  <c r="U130" i="3"/>
  <c r="T47" i="12"/>
  <c r="B30" i="5"/>
  <c r="B56" i="12"/>
  <c r="F34" i="12"/>
  <c r="U134" i="6"/>
  <c r="V102" i="4"/>
  <c r="D24" i="10"/>
  <c r="G52" i="10"/>
  <c r="T84" i="10"/>
  <c r="D30" i="12"/>
  <c r="T121" i="6"/>
  <c r="R13" i="5"/>
  <c r="U105" i="3"/>
  <c r="R25" i="9"/>
  <c r="R58" i="7"/>
  <c r="V149" i="7"/>
  <c r="E18" i="6"/>
  <c r="V84" i="4"/>
  <c r="Q79" i="3"/>
  <c r="Q108" i="8"/>
  <c r="S103" i="10"/>
  <c r="V119" i="7"/>
  <c r="Q48" i="8"/>
  <c r="Q53" i="5"/>
  <c r="R14" i="5"/>
  <c r="T112" i="6"/>
  <c r="B34" i="6"/>
  <c r="V104" i="4"/>
  <c r="Q13" i="9"/>
  <c r="Q95" i="7"/>
  <c r="B17" i="12"/>
  <c r="V57" i="5"/>
  <c r="V62" i="11"/>
  <c r="S47" i="7"/>
  <c r="T14" i="12"/>
  <c r="T34" i="4"/>
  <c r="R133" i="5"/>
  <c r="V120" i="3"/>
  <c r="F35" i="9"/>
  <c r="T98" i="7"/>
  <c r="T127" i="8"/>
  <c r="D12" i="7"/>
  <c r="T32" i="12"/>
  <c r="D61" i="11"/>
  <c r="T64" i="11"/>
  <c r="V68" i="4"/>
  <c r="U51" i="10"/>
  <c r="B30" i="3"/>
  <c r="Q69" i="7"/>
  <c r="T86" i="6"/>
  <c r="C54" i="8"/>
  <c r="V144" i="11"/>
  <c r="S104" i="3"/>
  <c r="E29" i="5"/>
  <c r="S105" i="12"/>
  <c r="C29" i="10"/>
  <c r="G12" i="7"/>
  <c r="C19" i="12"/>
  <c r="D26" i="3"/>
  <c r="U10" i="8"/>
  <c r="T135" i="6"/>
  <c r="Q111" i="5"/>
  <c r="V34" i="6"/>
  <c r="S95" i="8"/>
  <c r="Q73" i="9"/>
  <c r="R94" i="11"/>
  <c r="R89" i="12"/>
  <c r="R35" i="9"/>
  <c r="R81" i="7"/>
  <c r="C56" i="6"/>
  <c r="U145" i="5"/>
  <c r="G50" i="9"/>
  <c r="V125" i="9"/>
  <c r="S76" i="5"/>
  <c r="E56" i="10"/>
  <c r="E15" i="4"/>
  <c r="S142" i="6"/>
  <c r="S138" i="12"/>
  <c r="S43" i="7"/>
  <c r="G27" i="4"/>
  <c r="V103" i="3"/>
  <c r="V101" i="10"/>
  <c r="Q10" i="8"/>
  <c r="U140" i="11"/>
  <c r="U73" i="8"/>
  <c r="Q105" i="11"/>
  <c r="R78" i="11"/>
  <c r="T107" i="9"/>
  <c r="Q39" i="7"/>
  <c r="U75" i="10"/>
  <c r="Q22" i="5"/>
  <c r="C24" i="4"/>
  <c r="G49" i="11"/>
  <c r="V41" i="9"/>
  <c r="T92" i="8"/>
  <c r="F13" i="4"/>
  <c r="D7" i="6"/>
  <c r="T69" i="5"/>
  <c r="E22" i="10"/>
  <c r="D47" i="8"/>
  <c r="V31" i="5"/>
  <c r="Q70" i="8"/>
  <c r="T58" i="11"/>
  <c r="T130" i="8"/>
  <c r="Q3" i="3"/>
  <c r="Q136" i="10"/>
  <c r="S74" i="7"/>
  <c r="F43" i="4"/>
  <c r="U26" i="7"/>
  <c r="T138" i="8"/>
  <c r="G39" i="8"/>
  <c r="T34" i="6"/>
  <c r="U79" i="5"/>
  <c r="C48" i="10"/>
  <c r="G3" i="8"/>
  <c r="R119" i="4"/>
  <c r="T82" i="3"/>
  <c r="V96" i="11"/>
  <c r="R21" i="8"/>
  <c r="V10" i="4"/>
  <c r="C52" i="6"/>
  <c r="D31" i="7"/>
  <c r="R17" i="8"/>
  <c r="D19" i="11"/>
  <c r="R47" i="10"/>
  <c r="D33" i="10"/>
  <c r="G47" i="9"/>
  <c r="F22" i="7"/>
  <c r="V126" i="11"/>
  <c r="R123" i="10"/>
  <c r="B45" i="4"/>
  <c r="U62" i="10"/>
  <c r="V41" i="3"/>
  <c r="S13" i="3"/>
  <c r="Q5" i="8"/>
  <c r="T100" i="6"/>
  <c r="S104" i="5"/>
  <c r="V66" i="8"/>
  <c r="R105" i="11"/>
  <c r="D29" i="8"/>
  <c r="V62" i="12"/>
  <c r="R95" i="12"/>
  <c r="V60" i="5"/>
  <c r="U137" i="5"/>
  <c r="V11" i="5"/>
  <c r="Q69" i="12"/>
  <c r="T111" i="6"/>
  <c r="F52" i="6"/>
  <c r="R143" i="4"/>
  <c r="T120" i="3"/>
  <c r="V7" i="10"/>
  <c r="B12" i="8"/>
  <c r="Q77" i="10"/>
  <c r="U62" i="11"/>
  <c r="S8" i="11"/>
  <c r="E42" i="7"/>
  <c r="T114" i="12"/>
  <c r="E26" i="5"/>
  <c r="R53" i="6"/>
  <c r="U86" i="10"/>
  <c r="V75" i="8"/>
  <c r="D13" i="11"/>
  <c r="G32" i="7"/>
  <c r="S74" i="9"/>
  <c r="T16" i="4"/>
  <c r="B21" i="4"/>
  <c r="U22" i="8"/>
  <c r="V109" i="5"/>
  <c r="F61" i="7"/>
  <c r="V66" i="6"/>
  <c r="C35" i="6"/>
  <c r="S45" i="4"/>
  <c r="V84" i="9"/>
  <c r="Q51" i="5"/>
  <c r="U65" i="4"/>
  <c r="R30" i="9"/>
  <c r="C34" i="5"/>
  <c r="Q106" i="10"/>
  <c r="U54" i="8"/>
  <c r="R105" i="4"/>
  <c r="T54" i="7"/>
  <c r="T133" i="10"/>
  <c r="R84" i="10"/>
  <c r="D43" i="10"/>
  <c r="F20" i="3"/>
  <c r="U56" i="3"/>
  <c r="S140" i="12"/>
  <c r="S53" i="4"/>
  <c r="B3" i="3"/>
  <c r="F36" i="5"/>
  <c r="Q107" i="3"/>
  <c r="V92" i="5"/>
  <c r="C40" i="5"/>
  <c r="U40" i="6"/>
  <c r="V50" i="5"/>
  <c r="Q114" i="4"/>
  <c r="D17" i="10"/>
  <c r="T148" i="4"/>
  <c r="Q91" i="3"/>
  <c r="E63" i="5"/>
  <c r="T5" i="11"/>
  <c r="U119" i="8"/>
  <c r="R35" i="7"/>
  <c r="V59" i="10"/>
  <c r="C41" i="12"/>
  <c r="Q63" i="9"/>
  <c r="T91" i="6"/>
  <c r="E12" i="6"/>
  <c r="G57" i="4"/>
  <c r="R12" i="11"/>
  <c r="R6" i="8"/>
  <c r="U72" i="5"/>
  <c r="T108" i="7"/>
  <c r="Q25" i="4"/>
  <c r="R132" i="11"/>
  <c r="B7" i="8"/>
  <c r="Q71" i="5"/>
  <c r="V57" i="10"/>
  <c r="U35" i="7"/>
  <c r="R16" i="4"/>
  <c r="S44" i="9"/>
  <c r="U98" i="7"/>
  <c r="V76" i="10"/>
  <c r="B31" i="4"/>
  <c r="T44" i="10"/>
  <c r="R113" i="8"/>
  <c r="V94" i="3"/>
  <c r="T88" i="7"/>
  <c r="V36" i="12"/>
  <c r="T71" i="10"/>
  <c r="G11" i="11"/>
  <c r="V45" i="8"/>
  <c r="C57" i="6"/>
  <c r="F45" i="12"/>
  <c r="Q24" i="12"/>
  <c r="Q9" i="5"/>
  <c r="U20" i="8"/>
  <c r="Q60" i="11"/>
  <c r="U20" i="6"/>
  <c r="T51" i="5"/>
  <c r="V90" i="5"/>
  <c r="E61" i="7"/>
  <c r="B25" i="12"/>
  <c r="D10" i="12"/>
  <c r="C50" i="11"/>
  <c r="T67" i="4"/>
  <c r="V104" i="3"/>
  <c r="V138" i="3"/>
  <c r="U49" i="9"/>
  <c r="V70" i="8"/>
  <c r="S25" i="5"/>
  <c r="Q113" i="9"/>
  <c r="U89" i="4"/>
  <c r="U149" i="12"/>
  <c r="C52" i="10"/>
  <c r="R149" i="5"/>
  <c r="T55" i="11"/>
  <c r="R150" i="5"/>
  <c r="Q144" i="8"/>
  <c r="B15" i="5"/>
  <c r="Q58" i="12"/>
  <c r="Q93" i="3"/>
  <c r="T102" i="9"/>
  <c r="V126" i="10"/>
  <c r="U125" i="11"/>
  <c r="U138" i="11"/>
  <c r="E58" i="6"/>
  <c r="C3" i="6"/>
  <c r="S3" i="7"/>
  <c r="T150" i="7"/>
  <c r="C58" i="5"/>
  <c r="C53" i="12"/>
  <c r="U110" i="12"/>
  <c r="Q58" i="8"/>
  <c r="R136" i="6"/>
  <c r="U122" i="6"/>
  <c r="V138" i="12"/>
  <c r="U7" i="7"/>
  <c r="D27" i="11"/>
  <c r="C55" i="5"/>
  <c r="V75" i="6"/>
  <c r="C33" i="6"/>
  <c r="T39" i="4"/>
  <c r="C9" i="6"/>
  <c r="R13" i="9"/>
  <c r="F13" i="12"/>
  <c r="T44" i="8"/>
  <c r="F13" i="5"/>
  <c r="B41" i="9"/>
  <c r="V109" i="11"/>
  <c r="E47" i="11"/>
  <c r="G9" i="4"/>
  <c r="V86" i="8"/>
  <c r="S17" i="6"/>
  <c r="U37" i="12"/>
  <c r="S39" i="7"/>
  <c r="G22" i="3"/>
  <c r="V70" i="5"/>
  <c r="R82" i="3"/>
  <c r="Q125" i="6"/>
  <c r="S51" i="3"/>
  <c r="V132" i="9"/>
  <c r="S75" i="10"/>
  <c r="B31" i="6"/>
  <c r="Q95" i="6"/>
  <c r="V23" i="11"/>
  <c r="Q41" i="10"/>
  <c r="S54" i="12"/>
  <c r="S39" i="3"/>
  <c r="B47" i="5"/>
  <c r="D56" i="6"/>
  <c r="R6" i="9"/>
  <c r="U69" i="5"/>
  <c r="U84" i="8"/>
  <c r="S124" i="3"/>
  <c r="F32" i="9"/>
  <c r="C26" i="12"/>
  <c r="E49" i="10"/>
  <c r="T69" i="10"/>
  <c r="T133" i="8"/>
  <c r="S58" i="8"/>
  <c r="S26" i="9"/>
  <c r="V26" i="10"/>
  <c r="T34" i="3"/>
  <c r="U45" i="12"/>
  <c r="S109" i="8"/>
  <c r="D8" i="9"/>
  <c r="U145" i="3"/>
  <c r="E15" i="7"/>
  <c r="V98" i="6"/>
  <c r="D50" i="6"/>
  <c r="T92" i="10"/>
  <c r="R129" i="10"/>
  <c r="Q8" i="7"/>
  <c r="Q23" i="9"/>
  <c r="V76" i="5"/>
  <c r="U108" i="5"/>
  <c r="V42" i="4"/>
  <c r="D11" i="4"/>
  <c r="C41" i="10"/>
  <c r="R126" i="4"/>
  <c r="S114" i="11"/>
  <c r="D5" i="8"/>
  <c r="B26" i="10"/>
  <c r="Q11" i="11"/>
  <c r="V113" i="10"/>
  <c r="S71" i="9"/>
  <c r="U52" i="6"/>
  <c r="T116" i="11"/>
  <c r="Q81" i="3"/>
  <c r="S83" i="10"/>
  <c r="S80" i="12"/>
  <c r="V74" i="9"/>
  <c r="U5" i="10"/>
  <c r="V109" i="9"/>
  <c r="U7" i="8"/>
  <c r="Q20" i="6"/>
  <c r="R83" i="12"/>
  <c r="E5" i="3"/>
  <c r="Q61" i="5"/>
  <c r="T93" i="7"/>
  <c r="C22" i="12"/>
  <c r="Q101" i="8"/>
  <c r="S25" i="10"/>
  <c r="S66" i="9"/>
  <c r="D45" i="3"/>
  <c r="V39" i="5"/>
  <c r="U133" i="9"/>
  <c r="R106" i="3"/>
  <c r="D33" i="3"/>
  <c r="B9" i="11"/>
  <c r="D12" i="11"/>
  <c r="S43" i="3"/>
  <c r="R20" i="11"/>
  <c r="Q52" i="4"/>
  <c r="C55" i="12"/>
  <c r="G6" i="3"/>
  <c r="S147" i="7"/>
  <c r="V97" i="5"/>
  <c r="V146" i="4"/>
  <c r="S6" i="5"/>
  <c r="E19" i="8"/>
  <c r="T6" i="9"/>
  <c r="B56" i="4"/>
  <c r="T18" i="4"/>
  <c r="Q74" i="11"/>
  <c r="T12" i="3"/>
  <c r="U127" i="11"/>
  <c r="V10" i="9"/>
  <c r="V6" i="7"/>
  <c r="V18" i="6"/>
  <c r="U85" i="5"/>
  <c r="S52" i="11"/>
  <c r="T103" i="5"/>
  <c r="V4" i="12"/>
  <c r="B35" i="6"/>
  <c r="C62" i="4"/>
  <c r="R36" i="11"/>
  <c r="U57" i="11"/>
  <c r="R43" i="3"/>
  <c r="S98" i="11"/>
  <c r="U148" i="6"/>
  <c r="U19" i="8"/>
  <c r="E25" i="10"/>
  <c r="Q132" i="3"/>
  <c r="V127" i="3"/>
  <c r="S148" i="4"/>
  <c r="C16" i="7"/>
  <c r="B62" i="11"/>
  <c r="D49" i="6"/>
  <c r="U68" i="7"/>
  <c r="V134" i="6"/>
  <c r="T134" i="11"/>
  <c r="T26" i="7"/>
  <c r="U71" i="8"/>
  <c r="S24" i="6"/>
  <c r="R34" i="3"/>
  <c r="R91" i="5"/>
  <c r="B38" i="7"/>
  <c r="R7" i="10"/>
  <c r="Q81" i="11"/>
  <c r="T112" i="5"/>
  <c r="F5" i="10"/>
  <c r="S26" i="4"/>
  <c r="U137" i="10"/>
  <c r="S16" i="6"/>
  <c r="T80" i="3"/>
  <c r="V6" i="4"/>
  <c r="Q53" i="4"/>
  <c r="T140" i="12"/>
  <c r="U142" i="6"/>
  <c r="C34" i="8"/>
  <c r="D58" i="7"/>
  <c r="Q138" i="3"/>
  <c r="R95" i="9"/>
  <c r="B3" i="6"/>
  <c r="Q4" i="6"/>
  <c r="V24" i="4"/>
  <c r="E27" i="7"/>
  <c r="D17" i="4"/>
  <c r="D33" i="6"/>
  <c r="E55" i="8"/>
  <c r="B43" i="8"/>
  <c r="V3" i="12"/>
  <c r="B62" i="3"/>
  <c r="C28" i="10"/>
  <c r="B13" i="4"/>
  <c r="S31" i="11"/>
  <c r="U104" i="11"/>
  <c r="S20" i="9"/>
  <c r="S106" i="10"/>
  <c r="S16" i="3"/>
  <c r="R74" i="12"/>
  <c r="S20" i="4"/>
  <c r="E24" i="12"/>
  <c r="V97" i="9"/>
  <c r="U108" i="9"/>
  <c r="T15" i="8"/>
  <c r="R145" i="8"/>
  <c r="U52" i="11"/>
  <c r="D60" i="12"/>
  <c r="R13" i="6"/>
  <c r="B42" i="8"/>
  <c r="R97" i="8"/>
  <c r="V127" i="4"/>
  <c r="R11" i="11"/>
  <c r="B34" i="11"/>
  <c r="S7" i="10"/>
  <c r="R21" i="3"/>
  <c r="F18" i="11"/>
  <c r="F54" i="3"/>
  <c r="C32" i="7"/>
  <c r="Q32" i="6"/>
  <c r="V133" i="10"/>
  <c r="V99" i="11"/>
  <c r="S86" i="9"/>
  <c r="T18" i="11"/>
  <c r="E56" i="9"/>
  <c r="R117" i="4"/>
  <c r="B16" i="9"/>
  <c r="U73" i="7"/>
  <c r="T46" i="3"/>
  <c r="R36" i="5"/>
  <c r="C13" i="11"/>
  <c r="T128" i="7"/>
  <c r="S21" i="5"/>
  <c r="Q116" i="5"/>
  <c r="V125" i="4"/>
  <c r="U25" i="9"/>
  <c r="B35" i="8"/>
  <c r="T77" i="5"/>
  <c r="U23" i="8"/>
  <c r="G46" i="6"/>
  <c r="R122" i="4"/>
  <c r="Q45" i="11"/>
  <c r="Q81" i="6"/>
  <c r="E42" i="10"/>
  <c r="V136" i="10"/>
  <c r="R58" i="6"/>
  <c r="S138" i="11"/>
  <c r="R112" i="4"/>
  <c r="U69" i="3"/>
  <c r="V66" i="10"/>
  <c r="T149" i="4"/>
  <c r="U60" i="10"/>
  <c r="T110" i="8"/>
  <c r="V13" i="10"/>
  <c r="S98" i="5"/>
  <c r="V88" i="10"/>
  <c r="E42" i="5"/>
  <c r="G46" i="5"/>
  <c r="T79" i="5"/>
  <c r="Q150" i="6"/>
  <c r="Q26" i="12"/>
  <c r="F55" i="7"/>
  <c r="S18" i="10"/>
  <c r="U62" i="3"/>
  <c r="C19" i="7"/>
  <c r="U125" i="10"/>
  <c r="S115" i="9"/>
  <c r="U87" i="7"/>
  <c r="T56" i="10"/>
  <c r="T54" i="9"/>
  <c r="S123" i="8"/>
  <c r="B48" i="8"/>
  <c r="S27" i="10"/>
  <c r="U42" i="11"/>
  <c r="Q85" i="11"/>
  <c r="U43" i="10"/>
  <c r="U84" i="10"/>
  <c r="E12" i="4"/>
  <c r="U15" i="9"/>
  <c r="U38" i="9"/>
  <c r="E3" i="7"/>
  <c r="R4" i="11"/>
  <c r="V68" i="5"/>
  <c r="U34" i="6"/>
  <c r="T139" i="3"/>
  <c r="V38" i="3"/>
  <c r="V63" i="5"/>
  <c r="V84" i="10"/>
  <c r="Q114" i="6"/>
  <c r="R74" i="11"/>
  <c r="Q35" i="10"/>
  <c r="V86" i="10"/>
  <c r="U149" i="10"/>
  <c r="T36" i="3"/>
  <c r="D24" i="9"/>
  <c r="S98" i="7"/>
  <c r="D3" i="6"/>
  <c r="V38" i="6"/>
  <c r="Q74" i="12"/>
  <c r="V39" i="12"/>
  <c r="S147" i="4"/>
  <c r="Q17" i="3"/>
  <c r="R139" i="5"/>
  <c r="V51" i="3"/>
  <c r="R20" i="10"/>
  <c r="Q108" i="12"/>
  <c r="T61" i="9"/>
  <c r="R136" i="11"/>
  <c r="U56" i="9"/>
  <c r="S37" i="6"/>
  <c r="T67" i="12"/>
  <c r="B61" i="10"/>
  <c r="B59" i="4"/>
  <c r="V98" i="12"/>
  <c r="S23" i="4"/>
  <c r="U90" i="10"/>
  <c r="S10" i="10"/>
  <c r="S131" i="8"/>
  <c r="Q75" i="8"/>
  <c r="G17" i="11"/>
  <c r="E30" i="12"/>
  <c r="U105" i="8"/>
  <c r="Q64" i="7"/>
  <c r="D26" i="12"/>
  <c r="S104" i="8"/>
  <c r="D37" i="7"/>
  <c r="R148" i="9"/>
  <c r="Q80" i="5"/>
  <c r="Q48" i="11"/>
  <c r="B41" i="4"/>
  <c r="U16" i="7"/>
  <c r="V84" i="7"/>
  <c r="U30" i="11"/>
  <c r="Q100" i="8"/>
  <c r="D23" i="8"/>
  <c r="Q16" i="9"/>
  <c r="T31" i="4"/>
  <c r="U39" i="8"/>
  <c r="V141" i="11"/>
  <c r="T86" i="7"/>
  <c r="C29" i="8"/>
  <c r="S94" i="6"/>
  <c r="V71" i="12"/>
  <c r="C39" i="9"/>
  <c r="T46" i="6"/>
  <c r="S62" i="12"/>
  <c r="S64" i="4"/>
  <c r="R22" i="11"/>
  <c r="V68" i="12"/>
  <c r="Q87" i="11"/>
  <c r="D19" i="9"/>
  <c r="Q125" i="7"/>
  <c r="T103" i="4"/>
  <c r="T87" i="8"/>
  <c r="R92" i="6"/>
  <c r="R8" i="8"/>
  <c r="U118" i="8"/>
  <c r="G37" i="8"/>
  <c r="U136" i="10"/>
  <c r="V12" i="6"/>
  <c r="U67" i="7"/>
  <c r="B62" i="8"/>
  <c r="T80" i="6"/>
  <c r="V85" i="12"/>
  <c r="R58" i="9"/>
  <c r="S76" i="8"/>
  <c r="T63" i="9"/>
  <c r="S114" i="12"/>
  <c r="V30" i="4"/>
  <c r="V4" i="8"/>
  <c r="E36" i="12"/>
  <c r="G11" i="10"/>
  <c r="Q127" i="11"/>
  <c r="V4" i="11"/>
  <c r="B28" i="10"/>
  <c r="G38" i="7"/>
  <c r="F31" i="7"/>
  <c r="Q137" i="12"/>
  <c r="S135" i="6"/>
  <c r="S116" i="12"/>
  <c r="G59" i="8"/>
  <c r="U38" i="10"/>
  <c r="R72" i="6"/>
  <c r="B5" i="12"/>
  <c r="S60" i="6"/>
  <c r="R54" i="11"/>
  <c r="T93" i="4"/>
  <c r="E39" i="11"/>
  <c r="R148" i="5"/>
  <c r="Q126" i="9"/>
  <c r="E7" i="4"/>
  <c r="C21" i="7"/>
  <c r="F4" i="8"/>
  <c r="U98" i="4"/>
  <c r="U47" i="12"/>
  <c r="G50" i="4"/>
  <c r="E59" i="12"/>
  <c r="S46" i="9"/>
  <c r="V52" i="7"/>
  <c r="U61" i="9"/>
  <c r="T78" i="8"/>
  <c r="U70" i="6"/>
  <c r="S116" i="6"/>
  <c r="G15" i="6"/>
  <c r="V124" i="7"/>
  <c r="S130" i="3"/>
  <c r="V124" i="10"/>
  <c r="F19" i="6"/>
  <c r="S26" i="7"/>
  <c r="V54" i="12"/>
  <c r="B63" i="11"/>
  <c r="B19" i="9"/>
  <c r="C27" i="8"/>
  <c r="Q40" i="4"/>
  <c r="S61" i="6"/>
  <c r="U72" i="10"/>
  <c r="S47" i="4"/>
  <c r="R83" i="11"/>
  <c r="S7" i="7"/>
  <c r="V23" i="4"/>
  <c r="B37" i="8"/>
  <c r="T46" i="8"/>
  <c r="S68" i="3"/>
  <c r="V52" i="3"/>
  <c r="B28" i="5"/>
  <c r="Q109" i="3"/>
  <c r="C18" i="4"/>
  <c r="V101" i="5"/>
  <c r="C8" i="8"/>
  <c r="S30" i="5"/>
  <c r="T12" i="9"/>
  <c r="G22" i="9"/>
  <c r="S90" i="7"/>
  <c r="T72" i="11"/>
  <c r="Q102" i="5"/>
  <c r="R134" i="6"/>
  <c r="T11" i="9"/>
  <c r="S120" i="10"/>
  <c r="V126" i="3"/>
  <c r="Q60" i="3"/>
  <c r="B54" i="12"/>
  <c r="S57" i="10"/>
  <c r="D39" i="6"/>
  <c r="R87" i="5"/>
  <c r="U13" i="3"/>
  <c r="F32" i="11"/>
  <c r="S21" i="7"/>
  <c r="U64" i="3"/>
  <c r="Q39" i="11"/>
  <c r="S22" i="12"/>
  <c r="S3" i="11"/>
  <c r="V17" i="7"/>
  <c r="E8" i="4"/>
  <c r="B4" i="6"/>
  <c r="D36" i="8"/>
  <c r="G28" i="7"/>
  <c r="F35" i="8"/>
  <c r="Q109" i="4"/>
  <c r="U105" i="9"/>
  <c r="R11" i="5"/>
  <c r="T111" i="9"/>
  <c r="E56" i="6"/>
  <c r="T56" i="6"/>
  <c r="R88" i="6"/>
  <c r="T126" i="10"/>
  <c r="T26" i="9"/>
  <c r="T144" i="11"/>
  <c r="T148" i="3"/>
  <c r="F23" i="10"/>
  <c r="V26" i="5"/>
  <c r="U70" i="7"/>
  <c r="R98" i="11"/>
  <c r="R84" i="8"/>
  <c r="C53" i="9"/>
  <c r="R102" i="9"/>
  <c r="Q119" i="7"/>
  <c r="T79" i="10"/>
  <c r="G42" i="9"/>
  <c r="S40" i="12"/>
  <c r="F20" i="4"/>
  <c r="E59" i="9"/>
  <c r="U40" i="12"/>
  <c r="R18" i="4"/>
  <c r="V30" i="7"/>
  <c r="S30" i="12"/>
  <c r="B36" i="6"/>
  <c r="V16" i="8"/>
  <c r="S16" i="8"/>
  <c r="E8" i="11"/>
  <c r="V14" i="8"/>
  <c r="D26" i="7"/>
  <c r="Q88" i="3"/>
  <c r="Q14" i="8"/>
  <c r="G53" i="6"/>
  <c r="D49" i="4"/>
  <c r="B44" i="11"/>
  <c r="U110" i="10"/>
  <c r="V17" i="3"/>
  <c r="S9" i="6"/>
  <c r="Q19" i="4"/>
  <c r="B53" i="3"/>
  <c r="R114" i="3"/>
  <c r="U147" i="6"/>
  <c r="E6" i="8"/>
  <c r="T70" i="3"/>
  <c r="C39" i="10"/>
  <c r="V135" i="8"/>
  <c r="R89" i="9"/>
  <c r="U120" i="12"/>
  <c r="C39" i="3"/>
  <c r="Q77" i="4"/>
  <c r="R4" i="4"/>
  <c r="S7" i="3"/>
  <c r="T133" i="5"/>
  <c r="R91" i="12"/>
  <c r="R60" i="5"/>
  <c r="Q138" i="10"/>
  <c r="U139" i="5"/>
  <c r="Q99" i="4"/>
  <c r="U7" i="9"/>
  <c r="V20" i="3"/>
  <c r="Q26" i="9"/>
  <c r="C50" i="6"/>
  <c r="Q99" i="3"/>
  <c r="R85" i="8"/>
  <c r="T142" i="12"/>
  <c r="D44" i="9"/>
  <c r="F43" i="6"/>
  <c r="F60" i="3"/>
  <c r="B52" i="9"/>
  <c r="U60" i="4"/>
  <c r="U63" i="6"/>
  <c r="U140" i="8"/>
  <c r="R7" i="12"/>
  <c r="S31" i="5"/>
  <c r="T25" i="6"/>
  <c r="T89" i="3"/>
  <c r="B15" i="3"/>
  <c r="D37" i="3"/>
  <c r="U15" i="12"/>
  <c r="U98" i="11"/>
  <c r="B5" i="10"/>
  <c r="T37" i="7"/>
  <c r="U5" i="8"/>
  <c r="T64" i="6"/>
  <c r="V43" i="9"/>
  <c r="U20" i="9"/>
  <c r="Q80" i="7"/>
  <c r="B17" i="3"/>
  <c r="Q49" i="5"/>
  <c r="C52" i="11"/>
  <c r="U80" i="6"/>
  <c r="Q127" i="8"/>
  <c r="E54" i="7"/>
  <c r="T68" i="4"/>
  <c r="T134" i="3"/>
  <c r="V8" i="9"/>
  <c r="C16" i="4"/>
  <c r="E29" i="11"/>
  <c r="S103" i="4"/>
  <c r="R42" i="12"/>
  <c r="T137" i="12"/>
  <c r="D25" i="6"/>
  <c r="T81" i="5"/>
  <c r="R9" i="11"/>
  <c r="Q14" i="10"/>
  <c r="R139" i="8"/>
  <c r="V37" i="8"/>
  <c r="D7" i="3"/>
  <c r="U147" i="4"/>
  <c r="R15" i="7"/>
  <c r="B23" i="3"/>
  <c r="Q103" i="9"/>
  <c r="R109" i="6"/>
  <c r="S44" i="8"/>
  <c r="C17" i="5"/>
  <c r="Q145" i="7"/>
  <c r="U95" i="11"/>
  <c r="D18" i="5"/>
  <c r="U106" i="6"/>
  <c r="Q124" i="10"/>
  <c r="T118" i="7"/>
  <c r="Q134" i="3"/>
  <c r="T20" i="3"/>
  <c r="Q130" i="12"/>
  <c r="B7" i="7"/>
  <c r="V80" i="4"/>
  <c r="B30" i="12"/>
  <c r="E58" i="11"/>
  <c r="U138" i="9"/>
  <c r="T127" i="6"/>
  <c r="U122" i="8"/>
  <c r="G38" i="3"/>
  <c r="B19" i="3"/>
  <c r="Q70" i="11"/>
  <c r="T80" i="7"/>
  <c r="Q97" i="11"/>
  <c r="Q52" i="5"/>
  <c r="C59" i="4"/>
  <c r="S125" i="9"/>
  <c r="V92" i="10"/>
  <c r="S90" i="9"/>
  <c r="U71" i="5"/>
  <c r="B56" i="9"/>
  <c r="C14" i="12"/>
  <c r="C8" i="5"/>
  <c r="Q41" i="3"/>
  <c r="Q104" i="7"/>
  <c r="R142" i="12"/>
  <c r="V102" i="12"/>
  <c r="U101" i="6"/>
  <c r="F51" i="9"/>
  <c r="S4" i="3"/>
  <c r="V124" i="12"/>
  <c r="S92" i="3"/>
  <c r="D34" i="3"/>
  <c r="B61" i="8"/>
  <c r="V37" i="11"/>
  <c r="C61" i="4"/>
  <c r="S58" i="12"/>
  <c r="U67" i="5"/>
  <c r="U88" i="12"/>
  <c r="U70" i="3"/>
  <c r="E58" i="8"/>
  <c r="V14" i="12"/>
  <c r="R133" i="3"/>
  <c r="V121" i="3"/>
  <c r="T91" i="4"/>
  <c r="S25" i="6"/>
  <c r="Q31" i="5"/>
  <c r="R10" i="12"/>
  <c r="E25" i="4"/>
  <c r="D34" i="7"/>
  <c r="T49" i="10"/>
  <c r="R74" i="9"/>
  <c r="C39" i="5"/>
  <c r="S30" i="9"/>
  <c r="R34" i="12"/>
  <c r="F50" i="10"/>
  <c r="V136" i="12"/>
  <c r="G8" i="3"/>
  <c r="R131" i="9"/>
  <c r="R10" i="10"/>
  <c r="S33" i="10"/>
  <c r="T26" i="3"/>
  <c r="V32" i="8"/>
  <c r="F22" i="4"/>
  <c r="F38" i="7"/>
  <c r="D26" i="10"/>
  <c r="T144" i="5"/>
  <c r="S59" i="9"/>
  <c r="C45" i="6"/>
  <c r="V6" i="12"/>
  <c r="R76" i="6"/>
  <c r="R132" i="5"/>
  <c r="D28" i="5"/>
  <c r="T11" i="12"/>
  <c r="B38" i="6"/>
  <c r="S23" i="8"/>
  <c r="U7" i="5"/>
  <c r="T14" i="9"/>
  <c r="S99" i="5"/>
  <c r="D20" i="6"/>
  <c r="U51" i="6"/>
  <c r="Q7" i="8"/>
  <c r="B23" i="5"/>
  <c r="S40" i="10"/>
  <c r="R64" i="10"/>
  <c r="C34" i="11"/>
  <c r="V100" i="7"/>
  <c r="B61" i="9"/>
  <c r="S76" i="3"/>
  <c r="R116" i="11"/>
  <c r="D13" i="5"/>
  <c r="E14" i="12"/>
  <c r="T36" i="7"/>
  <c r="T116" i="3"/>
  <c r="U107" i="9"/>
  <c r="E55" i="3"/>
  <c r="Q15" i="4"/>
  <c r="B31" i="3"/>
  <c r="U40" i="9"/>
  <c r="S72" i="6"/>
  <c r="R5" i="8"/>
  <c r="G6" i="5"/>
  <c r="V72" i="12"/>
  <c r="Q17" i="9"/>
  <c r="T146" i="12"/>
  <c r="S139" i="6"/>
  <c r="U106" i="11"/>
  <c r="S18" i="11"/>
  <c r="R138" i="11"/>
  <c r="C38" i="8"/>
  <c r="F48" i="11"/>
  <c r="R150" i="11"/>
  <c r="E54" i="3"/>
  <c r="G30" i="9"/>
  <c r="Q65" i="6"/>
  <c r="B46" i="11"/>
  <c r="V47" i="7"/>
  <c r="T126" i="3"/>
  <c r="R140" i="11"/>
  <c r="E8" i="6"/>
  <c r="G59" i="9"/>
  <c r="V73" i="5"/>
  <c r="V101" i="3"/>
  <c r="S142" i="7"/>
  <c r="D29" i="7"/>
  <c r="V101" i="7"/>
  <c r="U21" i="5"/>
  <c r="F39" i="10"/>
  <c r="S53" i="8"/>
  <c r="G36" i="4"/>
  <c r="D4" i="4"/>
  <c r="U116" i="10"/>
  <c r="V10" i="11"/>
  <c r="F9" i="11"/>
  <c r="Q75" i="3"/>
  <c r="G19" i="3"/>
  <c r="U26" i="8"/>
  <c r="R87" i="10"/>
  <c r="U12" i="11"/>
  <c r="S109" i="6"/>
  <c r="R64" i="7"/>
  <c r="R122" i="7"/>
  <c r="B46" i="12"/>
  <c r="F25" i="7"/>
  <c r="U59" i="5"/>
  <c r="B10" i="7"/>
  <c r="B41" i="5"/>
  <c r="Q108" i="6"/>
  <c r="Q112" i="8"/>
  <c r="F37" i="7"/>
  <c r="U121" i="8"/>
  <c r="T109" i="5"/>
  <c r="B33" i="11"/>
  <c r="C51" i="4"/>
  <c r="F28" i="11"/>
  <c r="T140" i="6"/>
  <c r="B35" i="5"/>
  <c r="S98" i="8"/>
  <c r="B21" i="11"/>
  <c r="T5" i="5"/>
  <c r="S82" i="10"/>
  <c r="R104" i="6"/>
  <c r="C36" i="11"/>
  <c r="B57" i="10"/>
  <c r="B14" i="7"/>
  <c r="S101" i="10"/>
  <c r="Q53" i="11"/>
  <c r="T23" i="4"/>
  <c r="S99" i="9"/>
  <c r="Q19" i="7"/>
  <c r="R83" i="9"/>
  <c r="T101" i="4"/>
  <c r="T58" i="8"/>
  <c r="F38" i="10"/>
  <c r="F14" i="11"/>
  <c r="G52" i="5"/>
  <c r="Q133" i="11"/>
  <c r="T45" i="10"/>
  <c r="G58" i="9"/>
  <c r="R91" i="4"/>
  <c r="T107" i="12"/>
  <c r="E62" i="7"/>
  <c r="T105" i="3"/>
  <c r="G57" i="5"/>
  <c r="D39" i="12"/>
  <c r="T14" i="3"/>
  <c r="U108" i="11"/>
  <c r="V107" i="10"/>
  <c r="T143" i="6"/>
  <c r="V49" i="9"/>
  <c r="B44" i="12"/>
  <c r="U64" i="10"/>
  <c r="E6" i="7"/>
  <c r="Q112" i="4"/>
  <c r="G8" i="12"/>
  <c r="R89" i="8"/>
  <c r="C63" i="6"/>
  <c r="D34" i="10"/>
  <c r="T98" i="9"/>
  <c r="S19" i="5"/>
  <c r="Q97" i="3"/>
  <c r="V145" i="5"/>
  <c r="V10" i="5"/>
  <c r="G13" i="3"/>
  <c r="B3" i="10"/>
  <c r="G30" i="6"/>
  <c r="S38" i="3"/>
  <c r="S11" i="5"/>
  <c r="U14" i="4"/>
  <c r="R99" i="8"/>
  <c r="V121" i="7"/>
  <c r="C5" i="4"/>
  <c r="D45" i="7"/>
  <c r="V31" i="9"/>
  <c r="V81" i="5"/>
  <c r="R143" i="12"/>
  <c r="R147" i="6"/>
  <c r="Q73" i="4"/>
  <c r="B11" i="6"/>
  <c r="R59" i="3"/>
  <c r="U34" i="9"/>
  <c r="E59" i="10"/>
  <c r="Q25" i="11"/>
  <c r="V143" i="3"/>
  <c r="U107" i="8"/>
  <c r="C30" i="6"/>
  <c r="R101" i="7"/>
  <c r="V139" i="7"/>
  <c r="V30" i="3"/>
  <c r="R141" i="9"/>
  <c r="R148" i="11"/>
  <c r="T94" i="12"/>
  <c r="B22" i="3"/>
  <c r="R106" i="6"/>
  <c r="U147" i="12"/>
  <c r="V145" i="12"/>
  <c r="T99" i="8"/>
  <c r="U63" i="9"/>
  <c r="B44" i="10"/>
  <c r="U84" i="7"/>
  <c r="E35" i="9"/>
  <c r="V150" i="5"/>
  <c r="V147" i="3"/>
  <c r="U31" i="10"/>
  <c r="R18" i="5"/>
  <c r="R6" i="6"/>
  <c r="T92" i="6"/>
  <c r="R75" i="12"/>
  <c r="D49" i="8"/>
  <c r="Q84" i="5"/>
  <c r="S116" i="8"/>
  <c r="Q48" i="9"/>
  <c r="T56" i="5"/>
  <c r="B8" i="9"/>
  <c r="Q135" i="4"/>
  <c r="R23" i="6"/>
  <c r="V119" i="3"/>
  <c r="R117" i="8"/>
  <c r="G6" i="8"/>
  <c r="V56" i="8"/>
  <c r="S107" i="8"/>
  <c r="R86" i="11"/>
  <c r="T124" i="6"/>
  <c r="V94" i="7"/>
  <c r="C56" i="9"/>
  <c r="C60" i="10"/>
  <c r="U23" i="5"/>
  <c r="V111" i="8"/>
  <c r="U48" i="12"/>
  <c r="D50" i="5"/>
  <c r="C8" i="10"/>
  <c r="S136" i="6"/>
  <c r="E60" i="11"/>
  <c r="R88" i="4"/>
  <c r="R22" i="7"/>
  <c r="V59" i="4"/>
  <c r="U57" i="7"/>
  <c r="V44" i="3"/>
  <c r="D15" i="8"/>
  <c r="F7" i="10"/>
  <c r="R142" i="11"/>
  <c r="T66" i="5"/>
  <c r="R70" i="9"/>
  <c r="B16" i="7"/>
  <c r="U16" i="11"/>
  <c r="T111" i="12"/>
  <c r="Q26" i="10"/>
  <c r="V42" i="8"/>
  <c r="G5" i="3"/>
  <c r="R6" i="4"/>
  <c r="Q6" i="9"/>
  <c r="T19" i="12"/>
  <c r="F51" i="7"/>
  <c r="D60" i="11"/>
  <c r="S17" i="7"/>
  <c r="V90" i="4"/>
  <c r="Q128" i="9"/>
  <c r="Q19" i="11"/>
  <c r="V118" i="8"/>
  <c r="G11" i="6"/>
  <c r="V36" i="6"/>
  <c r="Q83" i="9"/>
  <c r="U98" i="12"/>
  <c r="F47" i="8"/>
  <c r="U144" i="5"/>
  <c r="T8" i="10"/>
  <c r="B24" i="8"/>
  <c r="V64" i="5"/>
  <c r="T25" i="4"/>
  <c r="V23" i="6"/>
  <c r="E4" i="4"/>
  <c r="E58" i="12"/>
  <c r="T42" i="8"/>
  <c r="C22" i="3"/>
  <c r="E41" i="7"/>
  <c r="E8" i="10"/>
  <c r="G18" i="10"/>
  <c r="R14" i="6"/>
  <c r="S119" i="10"/>
  <c r="U23" i="10"/>
  <c r="C32" i="12"/>
  <c r="R97" i="4"/>
  <c r="C54" i="4"/>
  <c r="T5" i="10"/>
  <c r="R109" i="11"/>
  <c r="E34" i="9"/>
  <c r="S100" i="9"/>
  <c r="V133" i="8"/>
  <c r="U66" i="9"/>
  <c r="V4" i="6"/>
  <c r="R91" i="10"/>
  <c r="Q3" i="8"/>
  <c r="T77" i="11"/>
  <c r="E19" i="9"/>
  <c r="V110" i="12"/>
  <c r="U13" i="9"/>
  <c r="V95" i="4"/>
  <c r="G41" i="11"/>
  <c r="S133" i="5"/>
  <c r="U110" i="8"/>
  <c r="C48" i="5"/>
  <c r="F43" i="5"/>
  <c r="R126" i="5"/>
  <c r="G16" i="6"/>
  <c r="Q100" i="9"/>
  <c r="S70" i="9"/>
  <c r="R72" i="5"/>
  <c r="F49" i="3"/>
  <c r="U11" i="4"/>
  <c r="R100" i="7"/>
  <c r="U144" i="6"/>
  <c r="G31" i="10"/>
  <c r="R51" i="4"/>
  <c r="T129" i="4"/>
  <c r="T112" i="9"/>
  <c r="R98" i="9"/>
  <c r="U24" i="7"/>
  <c r="B16" i="12"/>
  <c r="R57" i="12"/>
  <c r="S24" i="4"/>
  <c r="F37" i="6"/>
  <c r="S12" i="9"/>
  <c r="Q58" i="7"/>
  <c r="C4" i="5"/>
  <c r="T53" i="11"/>
  <c r="F56" i="9"/>
  <c r="Q14" i="11"/>
  <c r="T63" i="5"/>
  <c r="U145" i="10"/>
  <c r="T48" i="6"/>
  <c r="U42" i="12"/>
  <c r="G39" i="5"/>
  <c r="Q60" i="8"/>
  <c r="V25" i="4"/>
  <c r="R39" i="10"/>
  <c r="B3" i="4"/>
  <c r="D5" i="9"/>
  <c r="T62" i="8"/>
  <c r="R72" i="4"/>
  <c r="B49" i="8"/>
  <c r="T100" i="11"/>
  <c r="G10" i="3"/>
  <c r="U96" i="11"/>
  <c r="R4" i="6"/>
  <c r="U133" i="10"/>
  <c r="U57" i="3"/>
  <c r="S82" i="3"/>
  <c r="G27" i="5"/>
  <c r="V51" i="11"/>
  <c r="Q71" i="3"/>
  <c r="R132" i="7"/>
  <c r="G47" i="12"/>
  <c r="R48" i="7"/>
  <c r="S32" i="10"/>
  <c r="G41" i="3"/>
  <c r="G50" i="5"/>
  <c r="C58" i="10"/>
  <c r="B45" i="11"/>
  <c r="U66" i="7"/>
  <c r="U125" i="12"/>
  <c r="F60" i="8"/>
  <c r="S71" i="10"/>
  <c r="B39" i="11"/>
  <c r="E20" i="12"/>
  <c r="C18" i="7"/>
  <c r="V98" i="8"/>
  <c r="V46" i="4"/>
  <c r="G6" i="6"/>
  <c r="Q113" i="10"/>
  <c r="R123" i="6"/>
  <c r="V117" i="11"/>
  <c r="E3" i="5"/>
  <c r="S15" i="4"/>
  <c r="V26" i="3"/>
  <c r="D53" i="6"/>
  <c r="U60" i="12"/>
  <c r="C54" i="6"/>
  <c r="G57" i="10"/>
  <c r="S35" i="12"/>
  <c r="T46" i="4"/>
  <c r="B20" i="5"/>
  <c r="S78" i="5"/>
  <c r="R102" i="6"/>
  <c r="T19" i="9"/>
  <c r="Q113" i="5"/>
  <c r="D22" i="7"/>
  <c r="Q22" i="6"/>
  <c r="T32" i="7"/>
  <c r="B51" i="7"/>
  <c r="Q15" i="9"/>
  <c r="D9" i="5"/>
  <c r="T91" i="5"/>
  <c r="E48" i="10"/>
  <c r="Q140" i="9"/>
  <c r="T17" i="5"/>
  <c r="R33" i="5"/>
  <c r="U148" i="12"/>
  <c r="C35" i="3"/>
  <c r="B14" i="9"/>
  <c r="U146" i="12"/>
  <c r="R111" i="10"/>
  <c r="G20" i="11"/>
  <c r="S78" i="10"/>
  <c r="F23" i="6"/>
  <c r="V117" i="9"/>
  <c r="U135" i="7"/>
  <c r="T10" i="6"/>
  <c r="F52" i="5"/>
  <c r="U72" i="4"/>
  <c r="D38" i="7"/>
  <c r="C39" i="6"/>
  <c r="E44" i="5"/>
  <c r="F41" i="8"/>
  <c r="R86" i="4"/>
  <c r="U107" i="3"/>
  <c r="D13" i="12"/>
  <c r="F14" i="9"/>
  <c r="T112" i="10"/>
  <c r="V71" i="10"/>
  <c r="V143" i="11"/>
  <c r="C11" i="10"/>
  <c r="S136" i="3"/>
  <c r="T118" i="3"/>
  <c r="T82" i="8"/>
  <c r="C28" i="11"/>
  <c r="R45" i="5"/>
  <c r="Q84" i="7"/>
  <c r="U15" i="5"/>
  <c r="B8" i="12"/>
  <c r="G26" i="5"/>
  <c r="C4" i="4"/>
  <c r="U128" i="6"/>
  <c r="E41" i="5"/>
  <c r="S122" i="4"/>
  <c r="Q47" i="7"/>
  <c r="T67" i="10"/>
  <c r="V80" i="8"/>
  <c r="Q11" i="3"/>
  <c r="S13" i="12"/>
  <c r="U116" i="8"/>
  <c r="G12" i="8"/>
  <c r="T6" i="4"/>
  <c r="U95" i="7"/>
  <c r="T7" i="10"/>
  <c r="F7" i="6"/>
  <c r="B5" i="8"/>
  <c r="T48" i="8"/>
  <c r="R39" i="7"/>
  <c r="V96" i="5"/>
  <c r="G48" i="10"/>
  <c r="R139" i="4"/>
  <c r="S11" i="8"/>
  <c r="E29" i="3"/>
  <c r="T57" i="4"/>
  <c r="V107" i="4"/>
  <c r="C30" i="10"/>
  <c r="U109" i="11"/>
  <c r="S79" i="6"/>
  <c r="Q94" i="3"/>
  <c r="R131" i="12"/>
  <c r="B12" i="5"/>
  <c r="T49" i="8"/>
  <c r="B25" i="3"/>
  <c r="T118" i="11"/>
  <c r="U86" i="11"/>
  <c r="S59" i="6"/>
  <c r="V70" i="12"/>
  <c r="B49" i="9"/>
  <c r="V9" i="12"/>
  <c r="V77" i="5"/>
  <c r="E23" i="12"/>
  <c r="V98" i="10"/>
  <c r="R126" i="3"/>
  <c r="V48" i="5"/>
  <c r="C53" i="5"/>
  <c r="T120" i="5"/>
  <c r="G12" i="6"/>
  <c r="V93" i="7"/>
  <c r="C19" i="4"/>
  <c r="T18" i="3"/>
  <c r="B47" i="8"/>
  <c r="D17" i="12"/>
  <c r="Q134" i="4"/>
  <c r="U79" i="7"/>
  <c r="D28" i="4"/>
  <c r="B18" i="3"/>
  <c r="U65" i="7"/>
  <c r="Q3" i="6"/>
  <c r="T61" i="3"/>
  <c r="F43" i="9"/>
  <c r="T147" i="5"/>
  <c r="R7" i="6"/>
  <c r="D4" i="3"/>
  <c r="R108" i="6"/>
  <c r="U52" i="8"/>
  <c r="C44" i="7"/>
  <c r="S103" i="5"/>
  <c r="R92" i="3"/>
  <c r="E8" i="5"/>
  <c r="F43" i="12"/>
  <c r="U130" i="5"/>
  <c r="R72" i="9"/>
  <c r="T114" i="4"/>
  <c r="R122" i="9"/>
  <c r="U135" i="9"/>
  <c r="D20" i="12"/>
  <c r="V145" i="7"/>
  <c r="U138" i="6"/>
  <c r="Q128" i="11"/>
  <c r="B30" i="9"/>
  <c r="G25" i="9"/>
  <c r="G51" i="7"/>
  <c r="V40" i="6"/>
  <c r="Q14" i="9"/>
  <c r="T70" i="8"/>
  <c r="R148" i="10"/>
  <c r="D57" i="5"/>
  <c r="U76" i="10"/>
  <c r="C45" i="4"/>
  <c r="T44" i="5"/>
  <c r="Q118" i="7"/>
  <c r="D44" i="7"/>
  <c r="U132" i="9"/>
  <c r="S48" i="5"/>
  <c r="U145" i="11"/>
  <c r="R49" i="12"/>
  <c r="V22" i="11"/>
  <c r="B56" i="8"/>
  <c r="Q13" i="3"/>
  <c r="T68" i="11"/>
  <c r="U42" i="3"/>
  <c r="B10" i="10"/>
  <c r="S20" i="10"/>
  <c r="U26" i="10"/>
  <c r="C36" i="7"/>
  <c r="R46" i="12"/>
  <c r="R116" i="5"/>
  <c r="E13" i="10"/>
  <c r="E63" i="12"/>
  <c r="R62" i="8"/>
  <c r="T122" i="9"/>
  <c r="R72" i="3"/>
  <c r="C42" i="3"/>
  <c r="S20" i="7"/>
  <c r="Q119" i="9"/>
  <c r="V74" i="5"/>
  <c r="V145" i="10"/>
  <c r="C52" i="7"/>
  <c r="V5" i="6"/>
  <c r="T31" i="9"/>
  <c r="T141" i="7"/>
  <c r="Q20" i="11"/>
  <c r="S13" i="10"/>
  <c r="V143" i="9"/>
  <c r="S67" i="10"/>
  <c r="B34" i="12"/>
  <c r="G25" i="6"/>
  <c r="E22" i="3"/>
  <c r="S34" i="9"/>
  <c r="S18" i="12"/>
  <c r="B7" i="12"/>
  <c r="Q79" i="6"/>
  <c r="E45" i="10"/>
  <c r="Q67" i="5"/>
  <c r="T67" i="5"/>
  <c r="Q35" i="7"/>
  <c r="G49" i="6"/>
  <c r="T84" i="5"/>
  <c r="S123" i="3"/>
  <c r="T46" i="7"/>
  <c r="D23" i="9"/>
  <c r="C58" i="3"/>
  <c r="U80" i="9"/>
  <c r="E32" i="8"/>
  <c r="R100" i="11"/>
  <c r="C19" i="11"/>
  <c r="S140" i="10"/>
  <c r="V148" i="9"/>
  <c r="E49" i="8"/>
  <c r="R23" i="3"/>
  <c r="Q39" i="3"/>
  <c r="V124" i="9"/>
  <c r="S71" i="3"/>
  <c r="R61" i="12"/>
  <c r="R124" i="6"/>
  <c r="R107" i="9"/>
  <c r="S56" i="4"/>
  <c r="R3" i="8"/>
  <c r="Q92" i="5"/>
  <c r="S41" i="9"/>
  <c r="R20" i="12"/>
  <c r="S98" i="3"/>
  <c r="E30" i="11"/>
  <c r="V97" i="3"/>
  <c r="S115" i="3"/>
  <c r="D10" i="4"/>
  <c r="V36" i="7"/>
  <c r="V69" i="9"/>
  <c r="G61" i="12"/>
  <c r="C3" i="10"/>
  <c r="C14" i="6"/>
  <c r="S108" i="10"/>
  <c r="Q11" i="6"/>
  <c r="G56" i="10"/>
  <c r="B39" i="9"/>
  <c r="V75" i="4"/>
  <c r="T93" i="10"/>
  <c r="T114" i="9"/>
  <c r="S129" i="7"/>
  <c r="R93" i="6"/>
  <c r="S140" i="8"/>
  <c r="U100" i="11"/>
  <c r="F11" i="6"/>
  <c r="V107" i="6"/>
  <c r="U150" i="6"/>
  <c r="S24" i="12"/>
  <c r="V13" i="9"/>
  <c r="G24" i="12"/>
  <c r="R101" i="6"/>
  <c r="D49" i="12"/>
  <c r="U75" i="7"/>
  <c r="Q43" i="7"/>
  <c r="T5" i="6"/>
  <c r="S134" i="4"/>
  <c r="Q87" i="9"/>
  <c r="R130" i="9"/>
  <c r="Q67" i="9"/>
  <c r="B43" i="3"/>
  <c r="T119" i="5"/>
  <c r="E19" i="7"/>
  <c r="E62" i="3"/>
  <c r="U21" i="10"/>
  <c r="D42" i="5"/>
  <c r="U95" i="5"/>
  <c r="F41" i="4"/>
  <c r="Q33" i="9"/>
  <c r="T88" i="11"/>
  <c r="D16" i="5"/>
  <c r="R64" i="11"/>
  <c r="T90" i="12"/>
  <c r="V89" i="7"/>
  <c r="U4" i="5"/>
  <c r="C32" i="9"/>
  <c r="S61" i="5"/>
  <c r="E60" i="4"/>
  <c r="C27" i="5"/>
  <c r="V79" i="5"/>
  <c r="Q56" i="5"/>
  <c r="S79" i="4"/>
  <c r="Q139" i="5"/>
  <c r="U35" i="10"/>
  <c r="Q96" i="8"/>
  <c r="Q8" i="11"/>
  <c r="G45" i="5"/>
  <c r="R4" i="5"/>
  <c r="Q135" i="7"/>
  <c r="Q6" i="4"/>
  <c r="G36" i="7"/>
  <c r="U138" i="4"/>
  <c r="E35" i="4"/>
  <c r="Q47" i="3"/>
  <c r="T3" i="12"/>
  <c r="E57" i="4"/>
  <c r="R136" i="10"/>
  <c r="U82" i="8"/>
  <c r="S68" i="6"/>
  <c r="U78" i="9"/>
  <c r="D23" i="6"/>
  <c r="U98" i="5"/>
  <c r="Q95" i="3"/>
  <c r="U10" i="12"/>
  <c r="D57" i="3"/>
  <c r="V48" i="9"/>
  <c r="C16" i="11"/>
  <c r="B16" i="5"/>
  <c r="U15" i="4"/>
  <c r="T39" i="12"/>
  <c r="C4" i="7"/>
  <c r="U70" i="9"/>
  <c r="G24" i="4"/>
  <c r="V11" i="3"/>
  <c r="Q146" i="10"/>
  <c r="E10" i="4"/>
  <c r="G34" i="4"/>
  <c r="R64" i="4"/>
  <c r="S18" i="5"/>
  <c r="B52" i="11"/>
  <c r="T17" i="12"/>
  <c r="V113" i="11"/>
  <c r="B54" i="6"/>
  <c r="B23" i="7"/>
  <c r="R80" i="5"/>
  <c r="G34" i="12"/>
  <c r="F38" i="6"/>
  <c r="G32" i="8"/>
  <c r="R135" i="6"/>
  <c r="G61" i="7"/>
  <c r="F14" i="7"/>
  <c r="V123" i="9"/>
  <c r="Q74" i="3"/>
  <c r="R99" i="3"/>
  <c r="U39" i="12"/>
  <c r="V22" i="7"/>
  <c r="S65" i="10"/>
  <c r="T87" i="7"/>
  <c r="U63" i="7"/>
  <c r="Q148" i="8"/>
  <c r="D40" i="6"/>
  <c r="T17" i="7"/>
  <c r="S25" i="8"/>
  <c r="F61" i="8"/>
  <c r="C10" i="5"/>
  <c r="R93" i="5"/>
  <c r="V110" i="8"/>
  <c r="R76" i="4"/>
  <c r="Q121" i="7"/>
  <c r="F35" i="5"/>
  <c r="C44" i="10"/>
  <c r="Q61" i="12"/>
  <c r="Q15" i="11"/>
  <c r="S94" i="8"/>
  <c r="T75" i="4"/>
  <c r="C27" i="9"/>
  <c r="Q61" i="4"/>
  <c r="V88" i="6"/>
  <c r="D10" i="8"/>
  <c r="T143" i="5"/>
  <c r="S10" i="4"/>
  <c r="T132" i="5"/>
  <c r="V46" i="11"/>
  <c r="D63" i="11"/>
  <c r="S121" i="5"/>
  <c r="S15" i="12"/>
  <c r="T103" i="8"/>
  <c r="Q138" i="7"/>
  <c r="T10" i="4"/>
  <c r="D40" i="7"/>
  <c r="R15" i="4"/>
  <c r="V42" i="5"/>
  <c r="R11" i="8"/>
  <c r="Q111" i="12"/>
  <c r="R61" i="3"/>
  <c r="F34" i="7"/>
  <c r="F23" i="4"/>
  <c r="G17" i="4"/>
  <c r="G48" i="5"/>
  <c r="V69" i="6"/>
  <c r="S102" i="7"/>
  <c r="C9" i="8"/>
  <c r="T57" i="8"/>
  <c r="S9" i="5"/>
  <c r="E33" i="4"/>
  <c r="T22" i="10"/>
  <c r="U129" i="5"/>
  <c r="C50" i="8"/>
  <c r="G22" i="7"/>
  <c r="U21" i="12"/>
  <c r="G8" i="11"/>
  <c r="Q22" i="11"/>
  <c r="E22" i="6"/>
  <c r="R43" i="6"/>
  <c r="V7" i="8"/>
  <c r="S125" i="5"/>
  <c r="R24" i="6"/>
  <c r="R41" i="4"/>
  <c r="R112" i="3"/>
  <c r="C3" i="5"/>
  <c r="D57" i="11"/>
  <c r="D14" i="9"/>
  <c r="T55" i="9"/>
  <c r="S123" i="10"/>
  <c r="V21" i="5"/>
  <c r="U136" i="12"/>
  <c r="C24" i="6"/>
  <c r="T128" i="10"/>
  <c r="C21" i="10"/>
  <c r="S8" i="10"/>
  <c r="V98" i="4"/>
  <c r="V126" i="9"/>
  <c r="R61" i="4"/>
  <c r="Q79" i="11"/>
  <c r="S22" i="9"/>
  <c r="V87" i="3"/>
  <c r="C33" i="3"/>
  <c r="T91" i="10"/>
  <c r="F59" i="9"/>
  <c r="T81" i="8"/>
  <c r="V76" i="3"/>
  <c r="R124" i="4"/>
  <c r="V80" i="6"/>
  <c r="Q116" i="6"/>
  <c r="Q13" i="10"/>
  <c r="C54" i="3"/>
  <c r="V24" i="12"/>
  <c r="U4" i="7"/>
  <c r="G59" i="3"/>
  <c r="F58" i="8"/>
  <c r="B29" i="10"/>
  <c r="V136" i="8"/>
  <c r="U14" i="8"/>
  <c r="S4" i="7"/>
  <c r="Q118" i="10"/>
  <c r="Q71" i="10"/>
  <c r="V8" i="7"/>
  <c r="T122" i="5"/>
  <c r="R52" i="11"/>
  <c r="U54" i="5"/>
  <c r="G28" i="10"/>
  <c r="Q149" i="4"/>
  <c r="R23" i="4"/>
  <c r="R127" i="4"/>
  <c r="B21" i="9"/>
  <c r="F25" i="8"/>
  <c r="S97" i="6"/>
  <c r="S88" i="3"/>
  <c r="U143" i="4"/>
  <c r="E16" i="12"/>
  <c r="T54" i="10"/>
  <c r="U143" i="5"/>
  <c r="V26" i="12"/>
  <c r="G42" i="10"/>
  <c r="E27" i="4"/>
  <c r="U59" i="7"/>
  <c r="U3" i="7"/>
  <c r="V115" i="12"/>
  <c r="E47" i="5"/>
  <c r="U96" i="5"/>
  <c r="E58" i="10"/>
  <c r="T131" i="12"/>
  <c r="G43" i="10"/>
  <c r="T38" i="5"/>
  <c r="B29" i="4"/>
  <c r="S10" i="6"/>
  <c r="T112" i="11"/>
  <c r="Q55" i="8"/>
  <c r="F22" i="11"/>
  <c r="T72" i="6"/>
  <c r="V119" i="4"/>
  <c r="G35" i="11"/>
  <c r="B32" i="9"/>
  <c r="Q146" i="7"/>
  <c r="V71" i="6"/>
  <c r="Q98" i="6"/>
  <c r="T32" i="6"/>
  <c r="T77" i="6"/>
  <c r="U76" i="12"/>
  <c r="Q134" i="8"/>
  <c r="F61" i="3"/>
  <c r="E14" i="7"/>
  <c r="E51" i="6"/>
  <c r="Q91" i="9"/>
  <c r="E45" i="9"/>
  <c r="B33" i="7"/>
  <c r="G57" i="12"/>
  <c r="B60" i="8"/>
  <c r="E26" i="11"/>
  <c r="Q62" i="6"/>
  <c r="D53" i="7"/>
  <c r="R144" i="5"/>
  <c r="E28" i="3"/>
  <c r="V131" i="3"/>
  <c r="R116" i="10"/>
  <c r="D44" i="3"/>
  <c r="G44" i="11"/>
  <c r="C13" i="9"/>
  <c r="B54" i="9"/>
  <c r="E61" i="12"/>
  <c r="V74" i="6"/>
  <c r="C26" i="7"/>
  <c r="G55" i="5"/>
  <c r="R74" i="4"/>
  <c r="R128" i="6"/>
  <c r="D19" i="4"/>
  <c r="F19" i="3"/>
  <c r="Q9" i="7"/>
  <c r="Q123" i="11"/>
  <c r="Q62" i="5"/>
  <c r="U149" i="9"/>
  <c r="C57" i="10"/>
  <c r="D60" i="3"/>
  <c r="U137" i="12"/>
  <c r="D13" i="6"/>
  <c r="T100" i="7"/>
  <c r="S114" i="3"/>
  <c r="T99" i="10"/>
  <c r="U120" i="6"/>
  <c r="U41" i="8"/>
  <c r="Q63" i="10"/>
  <c r="C52" i="8"/>
  <c r="F17" i="5"/>
  <c r="U15" i="7"/>
  <c r="C8" i="11"/>
  <c r="Q50" i="9"/>
  <c r="D14" i="10"/>
  <c r="S78" i="8"/>
  <c r="T6" i="7"/>
  <c r="S40" i="7"/>
  <c r="U92" i="8"/>
  <c r="T101" i="10"/>
  <c r="S75" i="3"/>
  <c r="E17" i="11"/>
  <c r="R20" i="9"/>
  <c r="V102" i="5"/>
  <c r="R61" i="6"/>
  <c r="F31" i="9"/>
  <c r="U123" i="12"/>
  <c r="R137" i="9"/>
  <c r="F47" i="4"/>
  <c r="V23" i="9"/>
  <c r="E40" i="7"/>
  <c r="D62" i="4"/>
  <c r="Q127" i="6"/>
  <c r="C10" i="10"/>
  <c r="U107" i="12"/>
  <c r="V134" i="3"/>
  <c r="E37" i="11"/>
  <c r="U14" i="3"/>
  <c r="R4" i="7"/>
  <c r="T82" i="4"/>
  <c r="R49" i="10"/>
  <c r="U23" i="4"/>
  <c r="Q150" i="11"/>
  <c r="S130" i="12"/>
  <c r="E11" i="10"/>
  <c r="T38" i="10"/>
  <c r="T125" i="5"/>
  <c r="V107" i="11"/>
  <c r="S21" i="9"/>
  <c r="U62" i="9"/>
  <c r="G25" i="3"/>
  <c r="T88" i="8"/>
  <c r="Q43" i="12"/>
  <c r="F56" i="6"/>
  <c r="R96" i="3"/>
  <c r="S54" i="11"/>
  <c r="E10" i="5"/>
  <c r="T5" i="8"/>
  <c r="E60" i="12"/>
  <c r="S124" i="10"/>
  <c r="T150" i="9"/>
  <c r="T58" i="4"/>
  <c r="F8" i="8"/>
  <c r="S71" i="5"/>
  <c r="C24" i="9"/>
  <c r="R16" i="9"/>
  <c r="U109" i="7"/>
  <c r="C36" i="12"/>
  <c r="V138" i="4"/>
  <c r="Q67" i="3"/>
  <c r="V54" i="10"/>
  <c r="S9" i="10"/>
  <c r="U78" i="7"/>
  <c r="C12" i="11"/>
  <c r="T117" i="5"/>
  <c r="F41" i="10"/>
  <c r="S103" i="12"/>
  <c r="U25" i="4"/>
  <c r="G63" i="3"/>
  <c r="T59" i="4"/>
  <c r="S12" i="10"/>
  <c r="Q78" i="11"/>
  <c r="V50" i="3"/>
  <c r="C37" i="11"/>
  <c r="T94" i="5"/>
  <c r="T20" i="9"/>
  <c r="C16" i="12"/>
  <c r="F55" i="10"/>
  <c r="G51" i="10"/>
  <c r="T76" i="10"/>
  <c r="Q123" i="12"/>
  <c r="T43" i="3"/>
  <c r="R93" i="8"/>
  <c r="Q61" i="9"/>
  <c r="S143" i="3"/>
  <c r="U146" i="7"/>
  <c r="T13" i="12"/>
  <c r="B42" i="10"/>
  <c r="R20" i="7"/>
  <c r="R12" i="3"/>
  <c r="Q140" i="8"/>
  <c r="V40" i="11"/>
  <c r="V103" i="12"/>
  <c r="T67" i="3"/>
  <c r="S141" i="6"/>
  <c r="S134" i="7"/>
  <c r="B35" i="11"/>
  <c r="E26" i="4"/>
  <c r="Q25" i="10"/>
  <c r="U132" i="7"/>
  <c r="V18" i="9"/>
  <c r="V148" i="8"/>
  <c r="C46" i="4"/>
  <c r="U74" i="5"/>
  <c r="R4" i="10"/>
  <c r="C56" i="11"/>
  <c r="T136" i="5"/>
  <c r="U16" i="9"/>
  <c r="C37" i="6"/>
  <c r="G43" i="11"/>
  <c r="F29" i="5"/>
  <c r="F41" i="5"/>
  <c r="T10" i="9"/>
  <c r="G31" i="7"/>
  <c r="G7" i="8"/>
  <c r="Q43" i="9"/>
  <c r="F17" i="7"/>
  <c r="U79" i="3"/>
  <c r="R119" i="6"/>
  <c r="C6" i="3"/>
  <c r="C10" i="6"/>
  <c r="T27" i="11"/>
  <c r="D41" i="4"/>
  <c r="V113" i="8"/>
  <c r="S102" i="6"/>
  <c r="T12" i="8"/>
  <c r="T128" i="11"/>
  <c r="Q10" i="4"/>
  <c r="T79" i="9"/>
  <c r="U41" i="4"/>
  <c r="T17" i="4"/>
  <c r="T64" i="10"/>
  <c r="G22" i="11"/>
  <c r="C13" i="8"/>
  <c r="Q110" i="4"/>
  <c r="D9" i="4"/>
  <c r="S101" i="6"/>
  <c r="U85" i="10"/>
  <c r="C40" i="7"/>
  <c r="Q120" i="8"/>
  <c r="B28" i="8"/>
  <c r="R120" i="12"/>
  <c r="C42" i="11"/>
  <c r="B50" i="8"/>
  <c r="U109" i="4"/>
  <c r="V117" i="3"/>
  <c r="Q42" i="9"/>
  <c r="R118" i="9"/>
  <c r="C31" i="12"/>
  <c r="S53" i="5"/>
  <c r="S4" i="10"/>
  <c r="C15" i="7"/>
  <c r="V106" i="4"/>
  <c r="T60" i="11"/>
  <c r="V12" i="5"/>
  <c r="Q5" i="11"/>
  <c r="E17" i="7"/>
  <c r="Q24" i="4"/>
  <c r="E36" i="7"/>
  <c r="D20" i="10"/>
  <c r="E6" i="9"/>
  <c r="T129" i="12"/>
  <c r="V52" i="9"/>
  <c r="T8" i="9"/>
  <c r="F3" i="3"/>
  <c r="Q143" i="9"/>
  <c r="F47" i="3"/>
  <c r="E13" i="9"/>
  <c r="R76" i="3"/>
  <c r="B43" i="9"/>
  <c r="S37" i="11"/>
  <c r="S137" i="7"/>
  <c r="R138" i="6"/>
  <c r="C17" i="12"/>
  <c r="S128" i="10"/>
  <c r="T146" i="6"/>
  <c r="Q132" i="9"/>
  <c r="U74" i="4"/>
  <c r="D60" i="7"/>
  <c r="R22" i="5"/>
  <c r="T86" i="8"/>
  <c r="Q89" i="7"/>
  <c r="V13" i="12"/>
  <c r="T21" i="6"/>
  <c r="R66" i="11"/>
  <c r="U91" i="11"/>
  <c r="C49" i="11"/>
  <c r="F62" i="6"/>
  <c r="R42" i="3"/>
  <c r="G19" i="8"/>
  <c r="Q146" i="3"/>
  <c r="D6" i="6"/>
  <c r="D4" i="10"/>
  <c r="V110" i="10"/>
  <c r="Q9" i="8"/>
  <c r="S45" i="12"/>
  <c r="Q146" i="4"/>
  <c r="B48" i="11"/>
  <c r="C11" i="5"/>
  <c r="G51" i="12"/>
  <c r="S18" i="8"/>
  <c r="B30" i="6"/>
  <c r="F53" i="9"/>
  <c r="Q119" i="3"/>
  <c r="C3" i="3"/>
  <c r="R56" i="9"/>
  <c r="V122" i="12"/>
  <c r="E43" i="3"/>
  <c r="F35" i="11"/>
  <c r="T149" i="5"/>
  <c r="T34" i="5"/>
  <c r="U51" i="3"/>
  <c r="U22" i="12"/>
  <c r="F5" i="5"/>
  <c r="D30" i="7"/>
  <c r="T137" i="6"/>
  <c r="V98" i="9"/>
  <c r="D40" i="5"/>
  <c r="V62" i="7"/>
  <c r="V67" i="5"/>
  <c r="V24" i="7"/>
  <c r="U87" i="12"/>
  <c r="S113" i="7"/>
  <c r="T90" i="4"/>
  <c r="S131" i="11"/>
  <c r="D59" i="12"/>
  <c r="Q72" i="10"/>
  <c r="V83" i="8"/>
  <c r="V105" i="11"/>
  <c r="D63" i="4"/>
  <c r="R49" i="11"/>
  <c r="R143" i="6"/>
  <c r="U148" i="3"/>
  <c r="G18" i="9"/>
  <c r="R149" i="8"/>
  <c r="C57" i="3"/>
  <c r="D8" i="4"/>
  <c r="V87" i="11"/>
  <c r="S43" i="10"/>
  <c r="E46" i="7"/>
  <c r="T116" i="4"/>
  <c r="D28" i="3"/>
  <c r="U110" i="7"/>
  <c r="S142" i="3"/>
  <c r="Q137" i="5"/>
  <c r="Q113" i="6"/>
  <c r="S113" i="9"/>
  <c r="B32" i="8"/>
  <c r="T69" i="4"/>
  <c r="V96" i="6"/>
  <c r="R123" i="11"/>
  <c r="U41" i="6"/>
  <c r="G63" i="7"/>
  <c r="F54" i="8"/>
  <c r="E35" i="7"/>
  <c r="R24" i="7"/>
  <c r="E7" i="8"/>
  <c r="B7" i="11"/>
  <c r="T30" i="11"/>
  <c r="C55" i="4"/>
  <c r="Q139" i="4"/>
  <c r="F26" i="10"/>
  <c r="C43" i="7"/>
  <c r="U6" i="11"/>
  <c r="D60" i="5"/>
  <c r="C20" i="10"/>
  <c r="C21" i="9"/>
  <c r="Q79" i="7"/>
  <c r="T124" i="7"/>
  <c r="Q142" i="5"/>
  <c r="F15" i="4"/>
  <c r="V85" i="5"/>
  <c r="S71" i="11"/>
  <c r="R80" i="10"/>
  <c r="Q113" i="4"/>
  <c r="G6" i="9"/>
  <c r="T146" i="8"/>
  <c r="T128" i="12"/>
  <c r="E52" i="9"/>
  <c r="Q75" i="4"/>
  <c r="V93" i="10"/>
  <c r="Q39" i="10"/>
  <c r="T123" i="10"/>
  <c r="V55" i="6"/>
  <c r="U76" i="5"/>
  <c r="U57" i="5"/>
  <c r="S103" i="6"/>
  <c r="Q92" i="3"/>
  <c r="Q139" i="8"/>
  <c r="Q96" i="6"/>
  <c r="E23" i="4"/>
  <c r="T87" i="10"/>
  <c r="T110" i="7"/>
  <c r="F31" i="8"/>
  <c r="B58" i="6"/>
  <c r="T15" i="5"/>
  <c r="U47" i="8"/>
  <c r="R26" i="3"/>
  <c r="T55" i="10"/>
  <c r="C15" i="9"/>
  <c r="T57" i="5"/>
  <c r="F11" i="3"/>
  <c r="B11" i="5"/>
  <c r="T147" i="11"/>
  <c r="R77" i="8"/>
  <c r="E36" i="4"/>
  <c r="V128" i="8"/>
  <c r="D58" i="11"/>
  <c r="E61" i="8"/>
  <c r="B19" i="5"/>
  <c r="Q3" i="12"/>
  <c r="T40" i="8"/>
  <c r="T147" i="3"/>
  <c r="S51" i="8"/>
  <c r="G4" i="8"/>
  <c r="E54" i="10"/>
  <c r="G36" i="11"/>
  <c r="E34" i="10"/>
  <c r="E52" i="10"/>
  <c r="D11" i="5"/>
  <c r="B9" i="4"/>
  <c r="D46" i="4"/>
  <c r="R83" i="6"/>
  <c r="D22" i="4"/>
  <c r="G37" i="7"/>
  <c r="Q110" i="12"/>
  <c r="S125" i="7"/>
  <c r="V17" i="10"/>
  <c r="V10" i="8"/>
  <c r="Q73" i="11"/>
  <c r="D5" i="11"/>
  <c r="T123" i="7"/>
  <c r="G56" i="7"/>
  <c r="T98" i="4"/>
  <c r="C57" i="12"/>
  <c r="V40" i="4"/>
  <c r="D56" i="9"/>
  <c r="T16" i="6"/>
  <c r="B58" i="11"/>
  <c r="D5" i="7"/>
  <c r="Q10" i="3"/>
  <c r="G4" i="9"/>
  <c r="U139" i="7"/>
  <c r="V124" i="3"/>
  <c r="R85" i="9"/>
  <c r="V148" i="4"/>
  <c r="U107" i="10"/>
  <c r="V126" i="4"/>
  <c r="S56" i="5"/>
  <c r="S62" i="6"/>
  <c r="T74" i="8"/>
  <c r="C54" i="9"/>
  <c r="S135" i="9"/>
  <c r="C23" i="9"/>
  <c r="S76" i="9"/>
  <c r="V127" i="11"/>
  <c r="S119" i="4"/>
  <c r="V116" i="3"/>
  <c r="T82" i="6"/>
  <c r="Q42" i="12"/>
  <c r="S18" i="7"/>
  <c r="B35" i="3"/>
  <c r="D10" i="11"/>
  <c r="U86" i="12"/>
  <c r="Q92" i="8"/>
  <c r="Q88" i="10"/>
  <c r="B40" i="3"/>
  <c r="U150" i="11"/>
  <c r="S95" i="9"/>
  <c r="F3" i="9"/>
  <c r="D55" i="8"/>
  <c r="F24" i="9"/>
  <c r="D16" i="12"/>
  <c r="R65" i="6"/>
  <c r="D22" i="6"/>
  <c r="Q123" i="8"/>
  <c r="U42" i="4"/>
  <c r="C11" i="9"/>
  <c r="Q11" i="12"/>
  <c r="S10" i="11"/>
  <c r="Q12" i="9"/>
  <c r="Q44" i="6"/>
  <c r="F36" i="12"/>
  <c r="G24" i="7"/>
  <c r="R148" i="3"/>
  <c r="C54" i="10"/>
  <c r="Q139" i="12"/>
  <c r="B14" i="6"/>
  <c r="T86" i="4"/>
  <c r="T96" i="4"/>
  <c r="T5" i="4"/>
  <c r="S50" i="3"/>
  <c r="Q21" i="10"/>
  <c r="E40" i="12"/>
  <c r="C31" i="5"/>
  <c r="E18" i="10"/>
  <c r="S130" i="6"/>
  <c r="B8" i="7"/>
  <c r="R44" i="9"/>
  <c r="D36" i="6"/>
  <c r="D33" i="4"/>
  <c r="C49" i="3"/>
  <c r="T76" i="6"/>
  <c r="R4" i="12"/>
  <c r="U81" i="11"/>
  <c r="R11" i="12"/>
  <c r="B37" i="9"/>
  <c r="U88" i="10"/>
  <c r="V119" i="5"/>
  <c r="T80" i="8"/>
  <c r="E40" i="5"/>
  <c r="E4" i="10"/>
  <c r="Q56" i="3"/>
  <c r="C16" i="3"/>
  <c r="T146" i="5"/>
  <c r="E22" i="12"/>
  <c r="T149" i="10"/>
  <c r="B59" i="12"/>
  <c r="Q99" i="12"/>
  <c r="B20" i="8"/>
  <c r="Q45" i="10"/>
  <c r="R148" i="4"/>
  <c r="U10" i="11"/>
  <c r="V5" i="7"/>
  <c r="F50" i="4"/>
  <c r="D55" i="7"/>
  <c r="E17" i="5"/>
  <c r="R98" i="7"/>
  <c r="G24" i="10"/>
  <c r="U9" i="8"/>
  <c r="U31" i="8"/>
  <c r="D20" i="9"/>
  <c r="C16" i="6"/>
  <c r="S95" i="6"/>
  <c r="E14" i="11"/>
  <c r="D58" i="6"/>
  <c r="D58" i="5"/>
  <c r="Q119" i="4"/>
  <c r="D31" i="11"/>
  <c r="V16" i="5"/>
  <c r="V20" i="11"/>
  <c r="G11" i="4"/>
  <c r="V14" i="10"/>
  <c r="R40" i="6"/>
  <c r="D8" i="7"/>
  <c r="Q81" i="7"/>
  <c r="F15" i="9"/>
  <c r="U70" i="11"/>
  <c r="Q55" i="5"/>
  <c r="T4" i="9"/>
  <c r="Q18" i="10"/>
  <c r="T86" i="3"/>
  <c r="R85" i="4"/>
  <c r="R141" i="7"/>
  <c r="E13" i="11"/>
  <c r="R52" i="9"/>
  <c r="V36" i="8"/>
  <c r="F43" i="8"/>
  <c r="B13" i="6"/>
  <c r="U147" i="3"/>
  <c r="E31" i="12"/>
  <c r="R145" i="9"/>
  <c r="D19" i="5"/>
  <c r="R141" i="3"/>
  <c r="S85" i="3"/>
  <c r="U80" i="11"/>
  <c r="C55" i="7"/>
  <c r="S123" i="5"/>
  <c r="Q126" i="11"/>
  <c r="C30" i="11"/>
  <c r="G54" i="3"/>
  <c r="T122" i="8"/>
  <c r="T57" i="10"/>
  <c r="U4" i="4"/>
  <c r="U47" i="4"/>
  <c r="Q19" i="8"/>
  <c r="S52" i="9"/>
  <c r="Q110" i="6"/>
  <c r="S6" i="8"/>
  <c r="D55" i="6"/>
  <c r="S22" i="7"/>
  <c r="E9" i="6"/>
  <c r="B18" i="11"/>
  <c r="B46" i="4"/>
  <c r="E48" i="7"/>
  <c r="E57" i="3"/>
  <c r="V123" i="6"/>
  <c r="Q106" i="5"/>
  <c r="R125" i="12"/>
  <c r="S43" i="4"/>
  <c r="E60" i="9"/>
  <c r="U117" i="9"/>
  <c r="G18" i="5"/>
  <c r="G9" i="11"/>
  <c r="F21" i="8"/>
  <c r="E60" i="8"/>
  <c r="F46" i="9"/>
  <c r="D29" i="6"/>
  <c r="Q91" i="5"/>
  <c r="R15" i="8"/>
  <c r="S35" i="4"/>
  <c r="V129" i="7"/>
  <c r="T95" i="6"/>
  <c r="T127" i="5"/>
  <c r="Q134" i="11"/>
  <c r="C51" i="11"/>
  <c r="S127" i="4"/>
  <c r="V61" i="10"/>
  <c r="Q41" i="5"/>
  <c r="E13" i="3"/>
  <c r="V57" i="4"/>
  <c r="E23" i="6"/>
  <c r="Q11" i="8"/>
  <c r="Q117" i="6"/>
  <c r="R106" i="4"/>
  <c r="D43" i="5"/>
  <c r="V14" i="9"/>
  <c r="D36" i="3"/>
  <c r="C14" i="9"/>
  <c r="V8" i="10"/>
  <c r="D57" i="9"/>
  <c r="E57" i="10"/>
  <c r="V25" i="12"/>
  <c r="U45" i="6"/>
  <c r="T89" i="10"/>
  <c r="C14" i="8"/>
  <c r="E20" i="6"/>
  <c r="F52" i="3"/>
  <c r="Q109" i="10"/>
  <c r="G52" i="3"/>
  <c r="E4" i="7"/>
  <c r="S92" i="9"/>
  <c r="V56" i="5"/>
  <c r="R99" i="11"/>
  <c r="R50" i="8"/>
  <c r="R58" i="8"/>
  <c r="E51" i="7"/>
  <c r="T71" i="6"/>
  <c r="E52" i="8"/>
  <c r="G54" i="5"/>
  <c r="V26" i="6"/>
  <c r="V119" i="10"/>
  <c r="V51" i="7"/>
  <c r="U38" i="5"/>
  <c r="T19" i="6"/>
  <c r="E23" i="8"/>
  <c r="F30" i="9"/>
  <c r="D56" i="5"/>
  <c r="T140" i="5"/>
  <c r="C50" i="5"/>
  <c r="R44" i="7"/>
  <c r="G34" i="8"/>
  <c r="T39" i="8"/>
  <c r="B4" i="11"/>
  <c r="U99" i="12"/>
  <c r="T11" i="11"/>
  <c r="V144" i="8"/>
  <c r="V52" i="6"/>
  <c r="G61" i="10"/>
  <c r="Q11" i="7"/>
  <c r="F58" i="7"/>
  <c r="U95" i="12"/>
  <c r="D5" i="12"/>
  <c r="F52" i="9"/>
  <c r="S106" i="5"/>
  <c r="T91" i="11"/>
  <c r="G21" i="8"/>
  <c r="B33" i="5"/>
  <c r="U31" i="5"/>
  <c r="D55" i="10"/>
  <c r="V101" i="4"/>
  <c r="E16" i="11"/>
  <c r="Q38" i="6"/>
  <c r="R112" i="7"/>
  <c r="S5" i="9"/>
  <c r="R13" i="4"/>
  <c r="E50" i="9"/>
  <c r="R5" i="4"/>
  <c r="Q36" i="5"/>
  <c r="T53" i="8"/>
  <c r="S30" i="10"/>
  <c r="Q58" i="4"/>
  <c r="S38" i="12"/>
  <c r="B59" i="9"/>
  <c r="Q48" i="3"/>
  <c r="Q122" i="7"/>
  <c r="R19" i="12"/>
  <c r="V72" i="5"/>
  <c r="C11" i="7"/>
  <c r="Q66" i="9"/>
  <c r="B16" i="4"/>
  <c r="S42" i="11"/>
  <c r="V33" i="12"/>
  <c r="V64" i="6"/>
  <c r="U34" i="8"/>
  <c r="G43" i="7"/>
  <c r="D41" i="11"/>
  <c r="T83" i="7"/>
  <c r="S41" i="12"/>
  <c r="B58" i="10"/>
  <c r="Q97" i="5"/>
  <c r="F51" i="12"/>
  <c r="Q110" i="10"/>
  <c r="Q96" i="7"/>
  <c r="D47" i="7"/>
  <c r="T7" i="11"/>
  <c r="T115" i="6"/>
  <c r="C28" i="12"/>
  <c r="E62" i="11"/>
  <c r="Q101" i="11"/>
  <c r="U120" i="4"/>
  <c r="S62" i="10"/>
  <c r="F48" i="9"/>
  <c r="F54" i="11"/>
  <c r="E31" i="3"/>
  <c r="Q106" i="9"/>
  <c r="T138" i="9"/>
  <c r="T82" i="10"/>
  <c r="U95" i="10"/>
  <c r="V21" i="6"/>
  <c r="F54" i="7"/>
  <c r="U67" i="9"/>
  <c r="U85" i="11"/>
  <c r="B58" i="4"/>
  <c r="Q49" i="7"/>
  <c r="C7" i="11"/>
  <c r="R39" i="3"/>
  <c r="Q42" i="4"/>
  <c r="V23" i="5"/>
  <c r="B22" i="9"/>
  <c r="F15" i="10"/>
  <c r="U142" i="11"/>
  <c r="B19" i="6"/>
  <c r="T63" i="3"/>
  <c r="E17" i="3"/>
  <c r="F22" i="3"/>
  <c r="B6" i="7"/>
  <c r="V74" i="4"/>
  <c r="T91" i="7"/>
  <c r="S102" i="5"/>
  <c r="B31" i="12"/>
  <c r="R86" i="12"/>
  <c r="D6" i="8"/>
  <c r="R100" i="3"/>
  <c r="C52" i="9"/>
  <c r="Q116" i="4"/>
  <c r="C9" i="11"/>
  <c r="T56" i="11"/>
  <c r="U75" i="8"/>
  <c r="R121" i="4"/>
  <c r="V105" i="8"/>
  <c r="V57" i="9"/>
  <c r="Q118" i="9"/>
  <c r="U48" i="4"/>
  <c r="R111" i="6"/>
  <c r="C44" i="12"/>
  <c r="Q87" i="8"/>
  <c r="Q140" i="12"/>
  <c r="D37" i="8"/>
  <c r="F26" i="4"/>
  <c r="T68" i="6"/>
  <c r="R38" i="11"/>
  <c r="U131" i="3"/>
  <c r="F23" i="5"/>
  <c r="U27" i="9"/>
  <c r="T68" i="12"/>
  <c r="F13" i="11"/>
  <c r="U94" i="4"/>
  <c r="C25" i="3"/>
  <c r="C26" i="4"/>
  <c r="D51" i="4"/>
  <c r="T75" i="8"/>
  <c r="G49" i="4"/>
  <c r="V38" i="11"/>
  <c r="V23" i="8"/>
  <c r="C15" i="4"/>
  <c r="T106" i="4"/>
  <c r="U24" i="5"/>
  <c r="R65" i="4"/>
  <c r="V11" i="12"/>
  <c r="V8" i="4"/>
  <c r="V116" i="9"/>
  <c r="G22" i="8"/>
  <c r="U19" i="6"/>
  <c r="Q24" i="3"/>
  <c r="T139" i="4"/>
  <c r="R148" i="6"/>
  <c r="F18" i="8"/>
  <c r="D25" i="9"/>
  <c r="U79" i="4"/>
  <c r="Q3" i="5"/>
  <c r="Q149" i="9"/>
  <c r="U14" i="6"/>
  <c r="V73" i="4"/>
  <c r="R88" i="9"/>
  <c r="R21" i="6"/>
  <c r="Q11" i="9"/>
  <c r="F42" i="7"/>
  <c r="R80" i="6"/>
  <c r="V61" i="8"/>
  <c r="F27" i="12"/>
  <c r="T141" i="5"/>
  <c r="B49" i="11"/>
  <c r="S3" i="9"/>
  <c r="Q24" i="7"/>
  <c r="S143" i="4"/>
  <c r="Q21" i="4"/>
  <c r="V138" i="6"/>
  <c r="Q122" i="11"/>
  <c r="U141" i="5"/>
  <c r="T58" i="10"/>
  <c r="V36" i="4"/>
  <c r="F4" i="10"/>
  <c r="F49" i="6"/>
  <c r="T134" i="8"/>
  <c r="R40" i="7"/>
  <c r="F5" i="6"/>
  <c r="T27" i="4"/>
  <c r="R34" i="4"/>
  <c r="Q22" i="10"/>
  <c r="T105" i="5"/>
  <c r="R145" i="5"/>
  <c r="V19" i="9"/>
  <c r="U46" i="7"/>
  <c r="B23" i="12"/>
  <c r="Q104" i="10"/>
  <c r="R132" i="3"/>
  <c r="S35" i="6"/>
  <c r="T44" i="4"/>
  <c r="C29" i="7"/>
  <c r="R107" i="12"/>
  <c r="V24" i="8"/>
  <c r="F18" i="4"/>
  <c r="S84" i="7"/>
  <c r="E32" i="6"/>
  <c r="B62" i="9"/>
  <c r="V128" i="9"/>
  <c r="V88" i="5"/>
  <c r="S119" i="9"/>
  <c r="G24" i="6"/>
  <c r="G10" i="8"/>
  <c r="U83" i="10"/>
  <c r="S142" i="9"/>
  <c r="G35" i="5"/>
  <c r="C24" i="3"/>
  <c r="S83" i="8"/>
  <c r="F44" i="8"/>
  <c r="V109" i="6"/>
  <c r="C29" i="11"/>
  <c r="R31" i="5"/>
  <c r="V119" i="6"/>
  <c r="Q96" i="4"/>
  <c r="B29" i="6"/>
  <c r="F16" i="3"/>
  <c r="S117" i="9"/>
  <c r="R107" i="7"/>
  <c r="Q99" i="5"/>
  <c r="R12" i="5"/>
  <c r="S50" i="7"/>
  <c r="S16" i="9"/>
  <c r="U65" i="5"/>
  <c r="E15" i="10"/>
  <c r="B49" i="12"/>
  <c r="Q25" i="5"/>
  <c r="Q136" i="12"/>
  <c r="T43" i="9"/>
  <c r="Q40" i="11"/>
  <c r="B54" i="7"/>
  <c r="S72" i="8"/>
  <c r="U78" i="10"/>
  <c r="T142" i="6"/>
  <c r="Q150" i="4"/>
  <c r="R32" i="6"/>
  <c r="Q5" i="5"/>
  <c r="S125" i="6"/>
  <c r="T85" i="3"/>
  <c r="Q20" i="12"/>
  <c r="V24" i="9"/>
  <c r="S23" i="10"/>
  <c r="Q129" i="6"/>
  <c r="F30" i="3"/>
  <c r="D21" i="3"/>
  <c r="R69" i="6"/>
  <c r="E51" i="9"/>
  <c r="C7" i="5"/>
  <c r="R135" i="8"/>
  <c r="U73" i="4"/>
  <c r="G35" i="7"/>
  <c r="C43" i="6"/>
  <c r="S54" i="4"/>
  <c r="F13" i="8"/>
  <c r="U90" i="7"/>
  <c r="T31" i="11"/>
  <c r="D55" i="12"/>
  <c r="G10" i="11"/>
  <c r="T75" i="7"/>
  <c r="R149" i="7"/>
  <c r="S27" i="7"/>
  <c r="F9" i="6"/>
  <c r="D61" i="10"/>
  <c r="U33" i="4"/>
  <c r="U72" i="8"/>
  <c r="R105" i="5"/>
  <c r="C23" i="12"/>
  <c r="S101" i="4"/>
  <c r="Q50" i="3"/>
  <c r="S137" i="10"/>
  <c r="C46" i="9"/>
  <c r="T113" i="7"/>
  <c r="V67" i="7"/>
  <c r="U33" i="6"/>
  <c r="U113" i="6"/>
  <c r="Q50" i="4"/>
  <c r="B26" i="5"/>
  <c r="V65" i="3"/>
  <c r="D37" i="6"/>
  <c r="G29" i="9"/>
  <c r="V48" i="7"/>
  <c r="T147" i="6"/>
  <c r="R108" i="10"/>
  <c r="R125" i="11"/>
  <c r="R135" i="7"/>
  <c r="E32" i="7"/>
  <c r="T61" i="11"/>
  <c r="S147" i="3"/>
  <c r="E56" i="11"/>
  <c r="T126" i="7"/>
  <c r="B46" i="3"/>
  <c r="R30" i="12"/>
  <c r="R54" i="9"/>
  <c r="V76" i="12"/>
  <c r="Q12" i="6"/>
  <c r="T51" i="7"/>
  <c r="G9" i="8"/>
  <c r="S40" i="5"/>
  <c r="S16" i="7"/>
  <c r="F39" i="7"/>
  <c r="C41" i="7"/>
  <c r="B12" i="3"/>
  <c r="B26" i="6"/>
  <c r="F39" i="12"/>
  <c r="V69" i="5"/>
  <c r="D33" i="7"/>
  <c r="C48" i="4"/>
  <c r="G19" i="5"/>
  <c r="S39" i="4"/>
  <c r="S31" i="9"/>
  <c r="U132" i="5"/>
  <c r="F45" i="7"/>
  <c r="E39" i="7"/>
  <c r="G33" i="6"/>
  <c r="Q115" i="9"/>
  <c r="U108" i="6"/>
  <c r="G59" i="12"/>
  <c r="B26" i="7"/>
  <c r="B14" i="11"/>
  <c r="R114" i="12"/>
  <c r="T143" i="3"/>
  <c r="F18" i="7"/>
  <c r="B59" i="5"/>
  <c r="G47" i="6"/>
  <c r="Q136" i="8"/>
  <c r="E16" i="10"/>
  <c r="V117" i="4"/>
  <c r="C48" i="12"/>
  <c r="D54" i="6"/>
  <c r="V63" i="11"/>
  <c r="D52" i="12"/>
  <c r="G13" i="10"/>
  <c r="C5" i="12"/>
  <c r="Q44" i="10"/>
  <c r="D36" i="7"/>
  <c r="R142" i="9"/>
  <c r="S146" i="4"/>
  <c r="T80" i="10"/>
  <c r="G23" i="7"/>
  <c r="U102" i="8"/>
  <c r="D42" i="7"/>
  <c r="U58" i="7"/>
  <c r="D8" i="11"/>
  <c r="R77" i="4"/>
  <c r="V132" i="4"/>
  <c r="V46" i="8"/>
  <c r="G27" i="11"/>
  <c r="S68" i="5"/>
  <c r="C31" i="4"/>
  <c r="U85" i="9"/>
  <c r="T104" i="5"/>
  <c r="E34" i="4"/>
  <c r="Q6" i="5"/>
  <c r="B21" i="7"/>
  <c r="S115" i="4"/>
  <c r="R99" i="12"/>
  <c r="V140" i="4"/>
  <c r="F30" i="6"/>
  <c r="R21" i="12"/>
  <c r="C27" i="12"/>
  <c r="C24" i="10"/>
  <c r="S107" i="5"/>
  <c r="D39" i="11"/>
  <c r="T94" i="10"/>
  <c r="R92" i="8"/>
  <c r="R127" i="5"/>
  <c r="V127" i="8"/>
  <c r="S84" i="10"/>
  <c r="F23" i="3"/>
  <c r="V78" i="7"/>
  <c r="G62" i="8"/>
  <c r="U41" i="3"/>
  <c r="V125" i="5"/>
  <c r="T58" i="12"/>
  <c r="V107" i="3"/>
  <c r="E54" i="6"/>
  <c r="U5" i="5"/>
  <c r="U46" i="12"/>
  <c r="G26" i="6"/>
  <c r="Q85" i="6"/>
  <c r="T35" i="3"/>
  <c r="C6" i="6"/>
  <c r="R138" i="9"/>
  <c r="S72" i="7"/>
  <c r="T40" i="3"/>
  <c r="V108" i="5"/>
  <c r="T103" i="9"/>
  <c r="C59" i="9"/>
  <c r="Q130" i="4"/>
  <c r="V53" i="8"/>
  <c r="F52" i="11"/>
  <c r="E17" i="8"/>
  <c r="B13" i="9"/>
  <c r="B42" i="6"/>
  <c r="V147" i="7"/>
  <c r="R108" i="5"/>
  <c r="E42" i="3"/>
  <c r="V137" i="9"/>
  <c r="Q24" i="9"/>
  <c r="U114" i="7"/>
  <c r="U122" i="5"/>
  <c r="Q7" i="6"/>
  <c r="V101" i="9"/>
  <c r="R26" i="8"/>
  <c r="C26" i="8"/>
  <c r="G21" i="5"/>
  <c r="U141" i="10"/>
  <c r="V71" i="5"/>
  <c r="E21" i="6"/>
  <c r="C15" i="11"/>
  <c r="T27" i="5"/>
  <c r="V24" i="5"/>
  <c r="V112" i="3"/>
  <c r="R27" i="4"/>
  <c r="S89" i="7"/>
  <c r="V69" i="10"/>
  <c r="D50" i="4"/>
  <c r="G41" i="7"/>
  <c r="T24" i="4"/>
  <c r="F44" i="4"/>
  <c r="C62" i="8"/>
  <c r="T129" i="8"/>
  <c r="V121" i="8"/>
  <c r="T100" i="9"/>
  <c r="S64" i="10"/>
  <c r="T10" i="10"/>
  <c r="V118" i="12"/>
  <c r="Q49" i="3"/>
  <c r="S27" i="5"/>
  <c r="G51" i="9"/>
  <c r="B55" i="6"/>
  <c r="R138" i="8"/>
  <c r="Q102" i="4"/>
  <c r="R92" i="10"/>
  <c r="E15" i="3"/>
  <c r="D13" i="3"/>
  <c r="S54" i="10"/>
  <c r="F53" i="5"/>
  <c r="T146" i="10"/>
  <c r="V34" i="9"/>
  <c r="U129" i="8"/>
  <c r="S150" i="5"/>
  <c r="G14" i="3"/>
  <c r="V43" i="3"/>
  <c r="T123" i="4"/>
  <c r="T142" i="9"/>
  <c r="C3" i="8"/>
  <c r="S122" i="10"/>
  <c r="T72" i="3"/>
  <c r="Q3" i="9"/>
  <c r="Q10" i="6"/>
  <c r="U5" i="7"/>
  <c r="G30" i="5"/>
  <c r="U123" i="11"/>
  <c r="E30" i="7"/>
  <c r="G22" i="6"/>
  <c r="E9" i="4"/>
  <c r="C50" i="10"/>
  <c r="Q45" i="12"/>
  <c r="T33" i="4"/>
  <c r="C6" i="11"/>
  <c r="G38" i="12"/>
  <c r="U14" i="11"/>
  <c r="C14" i="4"/>
  <c r="R95" i="6"/>
  <c r="Q70" i="9"/>
  <c r="R46" i="8"/>
  <c r="U40" i="5"/>
  <c r="U118" i="4"/>
  <c r="R51" i="8"/>
  <c r="E37" i="5"/>
  <c r="T35" i="10"/>
  <c r="D60" i="6"/>
  <c r="S126" i="8"/>
  <c r="V64" i="7"/>
  <c r="S134" i="3"/>
  <c r="G58" i="10"/>
  <c r="C50" i="3"/>
  <c r="C38" i="7"/>
  <c r="D59" i="10"/>
  <c r="U57" i="4"/>
  <c r="S27" i="8"/>
  <c r="S3" i="10"/>
  <c r="T9" i="9"/>
  <c r="C17" i="6"/>
  <c r="S45" i="5"/>
  <c r="V97" i="10"/>
  <c r="R90" i="4"/>
  <c r="S35" i="3"/>
  <c r="Q25" i="12"/>
  <c r="U49" i="6"/>
  <c r="T98" i="5"/>
  <c r="U21" i="6"/>
  <c r="S103" i="11"/>
  <c r="V111" i="4"/>
  <c r="S10" i="9"/>
  <c r="F28" i="5"/>
  <c r="R55" i="10"/>
  <c r="F41" i="11"/>
  <c r="V34" i="7"/>
  <c r="F3" i="10"/>
  <c r="U107" i="6"/>
  <c r="R17" i="3"/>
  <c r="C27" i="11"/>
  <c r="F38" i="4"/>
  <c r="T66" i="3"/>
  <c r="S30" i="4"/>
  <c r="D15" i="11"/>
  <c r="S97" i="4"/>
  <c r="T120" i="7"/>
  <c r="U21" i="8"/>
  <c r="T108" i="10"/>
  <c r="E53" i="7"/>
  <c r="V35" i="9"/>
  <c r="E10" i="6"/>
  <c r="Q69" i="10"/>
  <c r="R10" i="5"/>
  <c r="C57" i="7"/>
  <c r="G11" i="9"/>
  <c r="G15" i="7"/>
  <c r="C4" i="3"/>
  <c r="U82" i="5"/>
  <c r="S139" i="8"/>
  <c r="S5" i="3"/>
  <c r="Q129" i="10"/>
  <c r="Q147" i="8"/>
  <c r="R114" i="9"/>
  <c r="C43" i="5"/>
  <c r="U52" i="12"/>
  <c r="Q4" i="3"/>
  <c r="T130" i="7"/>
  <c r="T49" i="3"/>
  <c r="R139" i="10"/>
  <c r="T21" i="11"/>
  <c r="Q123" i="3"/>
  <c r="U27" i="10"/>
  <c r="U120" i="3"/>
  <c r="Q115" i="3"/>
  <c r="G21" i="9"/>
  <c r="R41" i="9"/>
  <c r="Q137" i="11"/>
  <c r="V33" i="4"/>
  <c r="Q34" i="9"/>
  <c r="F21" i="4"/>
  <c r="Q136" i="5"/>
  <c r="S132" i="3"/>
  <c r="C23" i="7"/>
  <c r="C40" i="10"/>
  <c r="E35" i="3"/>
  <c r="Q27" i="7"/>
  <c r="S104" i="10"/>
  <c r="D59" i="7"/>
  <c r="S105" i="8"/>
  <c r="S36" i="3"/>
  <c r="R33" i="7"/>
  <c r="D47" i="12"/>
  <c r="V14" i="3"/>
  <c r="B57" i="3"/>
  <c r="C61" i="10"/>
  <c r="T25" i="5"/>
  <c r="Q68" i="3"/>
  <c r="V114" i="11"/>
  <c r="G5" i="11"/>
  <c r="D25" i="3"/>
  <c r="U115" i="12"/>
  <c r="Q119" i="10"/>
  <c r="S106" i="6"/>
  <c r="S110" i="12"/>
  <c r="G56" i="12"/>
  <c r="E28" i="12"/>
  <c r="Q87" i="7"/>
  <c r="F14" i="8"/>
  <c r="D48" i="7"/>
  <c r="V27" i="9"/>
  <c r="Q122" i="6"/>
  <c r="U8" i="9"/>
  <c r="V15" i="6"/>
  <c r="G63" i="12"/>
  <c r="R84" i="6"/>
  <c r="U115" i="5"/>
  <c r="F33" i="3"/>
  <c r="B51" i="6"/>
  <c r="R93" i="7"/>
  <c r="C8" i="4"/>
  <c r="T103" i="6"/>
  <c r="F27" i="7"/>
  <c r="F19" i="9"/>
  <c r="Q32" i="4"/>
  <c r="B43" i="10"/>
  <c r="G57" i="3"/>
  <c r="U70" i="5"/>
  <c r="G21" i="4"/>
  <c r="F44" i="3"/>
  <c r="V92" i="3"/>
  <c r="U119" i="6"/>
  <c r="S86" i="4"/>
  <c r="D43" i="6"/>
  <c r="F40" i="6"/>
  <c r="V117" i="8"/>
  <c r="E13" i="12"/>
  <c r="G6" i="10"/>
  <c r="F55" i="3"/>
  <c r="V136" i="11"/>
  <c r="U92" i="5"/>
  <c r="S39" i="6"/>
  <c r="R16" i="10"/>
  <c r="S132" i="11"/>
  <c r="D39" i="10"/>
  <c r="T81" i="10"/>
  <c r="G29" i="6"/>
  <c r="R104" i="7"/>
  <c r="S138" i="6"/>
  <c r="T107" i="5"/>
  <c r="V61" i="4"/>
  <c r="V56" i="7"/>
  <c r="Q55" i="10"/>
  <c r="V4" i="4"/>
  <c r="Q13" i="8"/>
  <c r="Q48" i="7"/>
  <c r="U142" i="8"/>
  <c r="R10" i="6"/>
  <c r="U115" i="8"/>
  <c r="R74" i="6"/>
  <c r="U38" i="3"/>
  <c r="F48" i="8"/>
  <c r="G9" i="3"/>
  <c r="V41" i="5"/>
  <c r="R143" i="8"/>
  <c r="R138" i="5"/>
  <c r="T20" i="12"/>
  <c r="S86" i="3"/>
  <c r="S145" i="10"/>
  <c r="R12" i="6"/>
  <c r="B16" i="3"/>
  <c r="V65" i="6"/>
  <c r="S7" i="8"/>
  <c r="R47" i="11"/>
  <c r="F24" i="4"/>
  <c r="G60" i="3"/>
  <c r="T50" i="4"/>
  <c r="U81" i="3"/>
  <c r="U9" i="10"/>
  <c r="G28" i="12"/>
  <c r="V106" i="5"/>
  <c r="T63" i="10"/>
  <c r="G42" i="3"/>
  <c r="V118" i="5"/>
  <c r="S129" i="11"/>
  <c r="F52" i="12"/>
  <c r="V118" i="10"/>
  <c r="Q34" i="6"/>
  <c r="F8" i="9"/>
  <c r="C47" i="11"/>
  <c r="V132" i="7"/>
  <c r="Q120" i="9"/>
  <c r="R6" i="12"/>
  <c r="S68" i="9"/>
  <c r="G23" i="8"/>
  <c r="B22" i="5"/>
  <c r="F6" i="11"/>
  <c r="T73" i="4"/>
  <c r="T126" i="5"/>
  <c r="T52" i="5"/>
  <c r="G33" i="3"/>
  <c r="T51" i="8"/>
  <c r="T3" i="7"/>
  <c r="C19" i="6"/>
  <c r="T46" i="5"/>
  <c r="S108" i="5"/>
  <c r="E43" i="10"/>
  <c r="U136" i="5"/>
  <c r="T48" i="9"/>
  <c r="R147" i="12"/>
  <c r="T31" i="3"/>
  <c r="E48" i="8"/>
  <c r="U88" i="3"/>
  <c r="V67" i="9"/>
  <c r="C23" i="3"/>
  <c r="Q24" i="6"/>
  <c r="U126" i="6"/>
  <c r="E8" i="12"/>
  <c r="S11" i="7"/>
  <c r="B23" i="9"/>
  <c r="T87" i="6"/>
  <c r="U30" i="12"/>
  <c r="T60" i="4"/>
  <c r="F37" i="11"/>
  <c r="T96" i="5"/>
  <c r="R100" i="5"/>
  <c r="B37" i="5"/>
  <c r="T126" i="4"/>
  <c r="F56" i="8"/>
  <c r="V15" i="7"/>
  <c r="T133" i="7"/>
  <c r="U86" i="6"/>
  <c r="T131" i="3"/>
  <c r="C39" i="11"/>
  <c r="B8" i="8"/>
  <c r="S81" i="12"/>
  <c r="C9" i="7"/>
  <c r="C24" i="5"/>
  <c r="S131" i="12"/>
  <c r="V111" i="6"/>
  <c r="F46" i="12"/>
  <c r="S111" i="8"/>
  <c r="R15" i="3"/>
  <c r="V6" i="3"/>
  <c r="S77" i="5"/>
  <c r="T93" i="8"/>
  <c r="E56" i="5"/>
  <c r="U7" i="12"/>
  <c r="T131" i="11"/>
  <c r="V111" i="12"/>
  <c r="D29" i="12"/>
  <c r="G33" i="5"/>
  <c r="T24" i="11"/>
  <c r="E54" i="5"/>
  <c r="S60" i="3"/>
  <c r="R112" i="6"/>
  <c r="G41" i="9"/>
  <c r="T136" i="7"/>
  <c r="F52" i="10"/>
  <c r="U35" i="12"/>
  <c r="R139" i="9"/>
  <c r="S139" i="9"/>
  <c r="Q44" i="4"/>
  <c r="S58" i="6"/>
  <c r="U53" i="5"/>
  <c r="V135" i="9"/>
  <c r="B19" i="11"/>
  <c r="B42" i="5"/>
  <c r="R116" i="12"/>
  <c r="R110" i="3"/>
  <c r="Q139" i="7"/>
  <c r="E42" i="4"/>
  <c r="D14" i="6"/>
  <c r="B35" i="12"/>
  <c r="R131" i="5"/>
  <c r="R46" i="5"/>
  <c r="C3" i="4"/>
  <c r="R31" i="6"/>
  <c r="R7" i="11"/>
  <c r="U94" i="3"/>
  <c r="G46" i="4"/>
  <c r="R119" i="3"/>
  <c r="R25" i="6"/>
  <c r="D58" i="9"/>
  <c r="V15" i="12"/>
  <c r="V95" i="8"/>
  <c r="S77" i="4"/>
  <c r="F46" i="7"/>
  <c r="D4" i="6"/>
  <c r="Q68" i="5"/>
  <c r="R19" i="7"/>
  <c r="T12" i="12"/>
  <c r="R30" i="5"/>
  <c r="F57" i="5"/>
  <c r="Q42" i="5"/>
  <c r="T35" i="5"/>
  <c r="S76" i="11"/>
  <c r="U73" i="5"/>
  <c r="D29" i="9"/>
  <c r="Q3" i="10"/>
  <c r="Q54" i="10"/>
  <c r="G62" i="3"/>
  <c r="R150" i="7"/>
  <c r="U27" i="5"/>
  <c r="R9" i="3"/>
  <c r="C42" i="4"/>
  <c r="U100" i="10"/>
  <c r="R146" i="5"/>
  <c r="C30" i="9"/>
  <c r="R14" i="12"/>
  <c r="U134" i="10"/>
  <c r="S63" i="6"/>
  <c r="Q11" i="4"/>
  <c r="G55" i="10"/>
  <c r="G61" i="6"/>
  <c r="B17" i="4"/>
  <c r="U50" i="8"/>
  <c r="R59" i="4"/>
  <c r="B54" i="4"/>
  <c r="U18" i="3"/>
  <c r="B45" i="10"/>
  <c r="G46" i="7"/>
  <c r="Q90" i="3"/>
  <c r="U41" i="5"/>
  <c r="R96" i="5"/>
  <c r="V104" i="5"/>
  <c r="U10" i="3"/>
  <c r="S148" i="10"/>
  <c r="C44" i="5"/>
  <c r="F41" i="7"/>
  <c r="R7" i="5"/>
  <c r="V82" i="6"/>
  <c r="G62" i="4"/>
  <c r="B32" i="11"/>
  <c r="Q104" i="4"/>
  <c r="T19" i="11"/>
  <c r="S122" i="9"/>
  <c r="S101" i="5"/>
  <c r="U100" i="5"/>
  <c r="E34" i="5"/>
  <c r="S12" i="8"/>
  <c r="V3" i="10"/>
  <c r="V52" i="10"/>
  <c r="D14" i="5"/>
  <c r="U12" i="9"/>
  <c r="F58" i="9"/>
  <c r="E40" i="10"/>
  <c r="F38" i="12"/>
  <c r="E48" i="6"/>
  <c r="C38" i="6"/>
  <c r="S48" i="7"/>
  <c r="Q16" i="8"/>
  <c r="Q18" i="11"/>
  <c r="V21" i="11"/>
  <c r="F40" i="8"/>
  <c r="F45" i="3"/>
  <c r="F59" i="10"/>
  <c r="Q54" i="7"/>
  <c r="D38" i="5"/>
  <c r="V11" i="9"/>
  <c r="D13" i="4"/>
  <c r="T142" i="10"/>
  <c r="F41" i="6"/>
  <c r="C43" i="9"/>
  <c r="Q108" i="3"/>
  <c r="T113" i="10"/>
  <c r="B11" i="3"/>
  <c r="Q10" i="10"/>
  <c r="V89" i="10"/>
  <c r="C60" i="11"/>
  <c r="S53" i="9"/>
  <c r="F17" i="8"/>
  <c r="T55" i="8"/>
  <c r="U144" i="3"/>
  <c r="C4" i="6"/>
  <c r="U67" i="4"/>
  <c r="V102" i="7"/>
  <c r="U103" i="12"/>
  <c r="R141" i="6"/>
  <c r="R136" i="5"/>
  <c r="V71" i="3"/>
  <c r="D50" i="10"/>
  <c r="T24" i="12"/>
  <c r="C44" i="4"/>
  <c r="D30" i="3"/>
  <c r="R78" i="6"/>
  <c r="R118" i="5"/>
  <c r="Q115" i="5"/>
  <c r="U74" i="12"/>
  <c r="E18" i="11"/>
  <c r="R114" i="8"/>
  <c r="V142" i="8"/>
  <c r="C14" i="10"/>
  <c r="R102" i="12"/>
  <c r="E20" i="3"/>
  <c r="T20" i="6"/>
  <c r="R109" i="7"/>
  <c r="T93" i="5"/>
  <c r="R24" i="11"/>
  <c r="R42" i="11"/>
  <c r="D49" i="7"/>
  <c r="U18" i="4"/>
  <c r="U4" i="3"/>
  <c r="R27" i="5"/>
  <c r="R147" i="10"/>
  <c r="V3" i="11"/>
  <c r="C63" i="5"/>
  <c r="Q69" i="11"/>
  <c r="S70" i="5"/>
  <c r="D55" i="9"/>
  <c r="S5" i="5"/>
  <c r="S84" i="4"/>
  <c r="V82" i="5"/>
  <c r="E14" i="8"/>
  <c r="U54" i="4"/>
  <c r="Q84" i="10"/>
  <c r="E6" i="5"/>
  <c r="R128" i="4"/>
  <c r="G40" i="11"/>
  <c r="S112" i="5"/>
  <c r="R52" i="3"/>
  <c r="E52" i="4"/>
  <c r="R73" i="12"/>
  <c r="V9" i="3"/>
  <c r="U145" i="8"/>
  <c r="U19" i="3"/>
  <c r="S61" i="9"/>
  <c r="T9" i="3"/>
  <c r="D29" i="5"/>
  <c r="T138" i="10"/>
  <c r="S135" i="5"/>
  <c r="C61" i="5"/>
  <c r="D56" i="3"/>
  <c r="T54" i="6"/>
  <c r="R95" i="11"/>
  <c r="F14" i="6"/>
  <c r="C10" i="8"/>
  <c r="R17" i="6"/>
  <c r="V80" i="7"/>
  <c r="G5" i="7"/>
  <c r="C31" i="6"/>
  <c r="S7" i="11"/>
  <c r="G16" i="4"/>
  <c r="U148" i="11"/>
  <c r="S58" i="11"/>
  <c r="V89" i="4"/>
  <c r="T63" i="7"/>
  <c r="C46" i="3"/>
  <c r="U104" i="7"/>
  <c r="B49" i="10"/>
  <c r="S4" i="9"/>
  <c r="U128" i="12"/>
  <c r="V112" i="6"/>
  <c r="S107" i="6"/>
  <c r="S130" i="8"/>
  <c r="B50" i="4"/>
  <c r="F3" i="4"/>
  <c r="F54" i="6"/>
  <c r="B33" i="8"/>
  <c r="F19" i="7"/>
  <c r="G44" i="4"/>
  <c r="V26" i="4"/>
  <c r="F33" i="6"/>
  <c r="U48" i="8"/>
  <c r="D13" i="7"/>
  <c r="U33" i="12"/>
  <c r="C48" i="8"/>
  <c r="E18" i="5"/>
  <c r="Q129" i="12"/>
  <c r="B60" i="11"/>
  <c r="Q90" i="6"/>
  <c r="U36" i="7"/>
  <c r="U21" i="7"/>
  <c r="S26" i="8"/>
  <c r="S54" i="8"/>
  <c r="B40" i="4"/>
  <c r="Q76" i="5"/>
  <c r="T118" i="10"/>
  <c r="D59" i="11"/>
  <c r="V148" i="10"/>
  <c r="Q64" i="3"/>
  <c r="R126" i="6"/>
  <c r="S68" i="11"/>
  <c r="D28" i="8"/>
  <c r="V59" i="3"/>
  <c r="C58" i="11"/>
  <c r="T72" i="12"/>
  <c r="R8" i="5"/>
  <c r="T110" i="10"/>
  <c r="F32" i="8"/>
  <c r="B46" i="6"/>
  <c r="C28" i="7"/>
  <c r="R9" i="7"/>
  <c r="G6" i="12"/>
  <c r="D9" i="12"/>
  <c r="Q35" i="3"/>
  <c r="R102" i="3"/>
  <c r="U60" i="3"/>
  <c r="Q102" i="12"/>
  <c r="V58" i="7"/>
  <c r="F24" i="7"/>
  <c r="B15" i="8"/>
  <c r="U34" i="11"/>
  <c r="D9" i="8"/>
  <c r="U47" i="11"/>
  <c r="U49" i="11"/>
  <c r="V89" i="11"/>
  <c r="D4" i="11"/>
  <c r="T4" i="8"/>
  <c r="V99" i="12"/>
  <c r="T14" i="4"/>
  <c r="F7" i="12"/>
  <c r="Q133" i="6"/>
  <c r="G41" i="5"/>
  <c r="G11" i="7"/>
  <c r="C45" i="7"/>
  <c r="G58" i="4"/>
  <c r="V137" i="4"/>
  <c r="Q145" i="12"/>
  <c r="E18" i="8"/>
  <c r="Q121" i="9"/>
  <c r="V107" i="7"/>
  <c r="D35" i="3"/>
  <c r="T3" i="4"/>
  <c r="U97" i="12"/>
  <c r="S33" i="6"/>
  <c r="E31" i="9"/>
  <c r="U104" i="4"/>
  <c r="F4" i="7"/>
  <c r="V12" i="11"/>
  <c r="V126" i="7"/>
  <c r="G49" i="3"/>
  <c r="F49" i="8"/>
  <c r="F55" i="5"/>
  <c r="Q16" i="3"/>
  <c r="D62" i="10"/>
  <c r="C62" i="5"/>
  <c r="U11" i="7"/>
  <c r="V90" i="3"/>
  <c r="D41" i="9"/>
  <c r="G63" i="5"/>
  <c r="G37" i="10"/>
  <c r="T122" i="12"/>
  <c r="B7" i="10"/>
  <c r="R39" i="8"/>
  <c r="S97" i="8"/>
  <c r="T52" i="4"/>
  <c r="T98" i="12"/>
  <c r="G54" i="12"/>
  <c r="T135" i="7"/>
  <c r="F35" i="6"/>
  <c r="B20" i="4"/>
  <c r="F9" i="5"/>
  <c r="C41" i="9"/>
  <c r="B57" i="9"/>
  <c r="T139" i="7"/>
  <c r="R77" i="6"/>
  <c r="U82" i="10"/>
  <c r="T17" i="3"/>
  <c r="F30" i="7"/>
  <c r="B25" i="10"/>
  <c r="T92" i="12"/>
  <c r="Q15" i="12"/>
  <c r="S102" i="8"/>
  <c r="G19" i="11"/>
  <c r="S88" i="6"/>
  <c r="S112" i="7"/>
  <c r="S8" i="12"/>
  <c r="Q13" i="11"/>
  <c r="G11" i="3"/>
  <c r="D18" i="4"/>
  <c r="E34" i="7"/>
  <c r="E16" i="4"/>
  <c r="F21" i="12"/>
  <c r="C45" i="3"/>
  <c r="U13" i="5"/>
  <c r="D57" i="6"/>
  <c r="D55" i="3"/>
  <c r="R105" i="12"/>
  <c r="C49" i="7"/>
  <c r="D23" i="5"/>
  <c r="S19" i="7"/>
  <c r="Q88" i="4"/>
  <c r="D40" i="3"/>
  <c r="R111" i="3"/>
  <c r="Q138" i="9"/>
  <c r="T13" i="6"/>
  <c r="C61" i="8"/>
  <c r="B39" i="5"/>
  <c r="R102" i="5"/>
  <c r="G61" i="9"/>
  <c r="R8" i="11"/>
  <c r="B50" i="12"/>
  <c r="F32" i="12"/>
  <c r="V22" i="5"/>
  <c r="V65" i="5"/>
  <c r="Q23" i="8"/>
  <c r="B29" i="7"/>
  <c r="V52" i="8"/>
  <c r="V25" i="10"/>
  <c r="F34" i="5"/>
  <c r="T94" i="3"/>
  <c r="C5" i="9"/>
  <c r="Q72" i="4"/>
  <c r="C46" i="11"/>
  <c r="R24" i="10"/>
  <c r="U102" i="5"/>
  <c r="E61" i="9"/>
  <c r="C3" i="11"/>
  <c r="R72" i="11"/>
  <c r="S50" i="4"/>
  <c r="D4" i="7"/>
  <c r="E55" i="7"/>
  <c r="E38" i="9"/>
  <c r="S16" i="5"/>
  <c r="F20" i="9"/>
  <c r="R106" i="9"/>
  <c r="S121" i="10"/>
  <c r="R93" i="3"/>
  <c r="Q8" i="6"/>
  <c r="T146" i="3"/>
  <c r="B10" i="8"/>
  <c r="V105" i="10"/>
  <c r="T57" i="6"/>
  <c r="C54" i="7"/>
  <c r="B43" i="12"/>
  <c r="R25" i="7"/>
  <c r="G26" i="8"/>
  <c r="Q115" i="10"/>
  <c r="R134" i="3"/>
  <c r="V36" i="5"/>
  <c r="D25" i="12"/>
  <c r="E39" i="12"/>
  <c r="Q148" i="10"/>
  <c r="T113" i="6"/>
  <c r="V69" i="3"/>
  <c r="E54" i="11"/>
  <c r="Q12" i="3"/>
  <c r="G13" i="4"/>
  <c r="Q68" i="11"/>
  <c r="D21" i="9"/>
  <c r="V118" i="7"/>
  <c r="V77" i="8"/>
  <c r="F4" i="12"/>
  <c r="B53" i="12"/>
  <c r="Q39" i="5"/>
  <c r="E22" i="8"/>
  <c r="D11" i="11"/>
  <c r="B37" i="12"/>
  <c r="U66" i="3"/>
  <c r="S126" i="10"/>
  <c r="S113" i="4"/>
  <c r="C34" i="6"/>
  <c r="S126" i="6"/>
  <c r="F8" i="12"/>
  <c r="T35" i="8"/>
  <c r="G51" i="6"/>
  <c r="T95" i="7"/>
  <c r="B28" i="9"/>
  <c r="Q92" i="4"/>
  <c r="B6" i="6"/>
  <c r="F56" i="5"/>
  <c r="Q132" i="5"/>
  <c r="R3" i="12"/>
  <c r="U35" i="6"/>
  <c r="V60" i="3"/>
  <c r="B59" i="6"/>
  <c r="G55" i="11"/>
  <c r="R51" i="3"/>
  <c r="Q78" i="4"/>
  <c r="T13" i="9"/>
  <c r="S7" i="4"/>
  <c r="U12" i="5"/>
  <c r="D10" i="6"/>
  <c r="Q148" i="9"/>
  <c r="U82" i="3"/>
  <c r="G54" i="10"/>
  <c r="C35" i="5"/>
  <c r="F53" i="8"/>
  <c r="E27" i="6"/>
  <c r="C5" i="3"/>
  <c r="Q118" i="12"/>
  <c r="R103" i="5"/>
  <c r="F50" i="3"/>
  <c r="R98" i="5"/>
  <c r="T43" i="8"/>
  <c r="E56" i="8"/>
  <c r="U18" i="11"/>
  <c r="V16" i="9"/>
  <c r="V17" i="11"/>
  <c r="G23" i="4"/>
  <c r="R115" i="6"/>
  <c r="R80" i="4"/>
  <c r="G39" i="3"/>
  <c r="R87" i="8"/>
  <c r="S11" i="4"/>
  <c r="C5" i="6"/>
  <c r="U93" i="10"/>
  <c r="R113" i="4"/>
  <c r="Q23" i="5"/>
  <c r="T144" i="8"/>
  <c r="G44" i="8"/>
  <c r="D33" i="11"/>
  <c r="Q31" i="6"/>
  <c r="D3" i="5"/>
  <c r="R19" i="6"/>
  <c r="Q58" i="11"/>
  <c r="Q122" i="3"/>
  <c r="R3" i="4"/>
  <c r="S147" i="5"/>
  <c r="F47" i="7"/>
  <c r="U35" i="3"/>
  <c r="T123" i="9"/>
  <c r="U93" i="9"/>
  <c r="R63" i="11"/>
  <c r="F49" i="12"/>
  <c r="S101" i="8"/>
  <c r="B12" i="12"/>
  <c r="D23" i="12"/>
  <c r="B32" i="3"/>
  <c r="B37" i="11"/>
  <c r="U24" i="11"/>
  <c r="S144" i="11"/>
  <c r="E34" i="3"/>
  <c r="D25" i="4"/>
  <c r="Q101" i="3"/>
  <c r="R51" i="10"/>
  <c r="R16" i="12"/>
  <c r="T26" i="4"/>
  <c r="T4" i="6"/>
  <c r="V49" i="10"/>
  <c r="S148" i="11"/>
  <c r="G61" i="5"/>
  <c r="Q10" i="9"/>
  <c r="R55" i="7"/>
  <c r="S133" i="3"/>
  <c r="Q55" i="4"/>
  <c r="T25" i="8"/>
  <c r="Q87" i="5"/>
  <c r="B24" i="3"/>
  <c r="E31" i="7"/>
  <c r="R74" i="3"/>
  <c r="F11" i="11"/>
  <c r="R131" i="11"/>
  <c r="E5" i="5"/>
  <c r="V107" i="9"/>
  <c r="R8" i="9"/>
  <c r="Q39" i="6"/>
  <c r="V27" i="3"/>
  <c r="D59" i="4"/>
  <c r="T32" i="8"/>
  <c r="R44" i="10"/>
  <c r="R97" i="9"/>
  <c r="T147" i="8"/>
  <c r="V32" i="4"/>
  <c r="S44" i="6"/>
  <c r="V92" i="4"/>
  <c r="T104" i="8"/>
  <c r="V3" i="8"/>
  <c r="R104" i="3"/>
  <c r="C25" i="7"/>
  <c r="T65" i="3"/>
  <c r="D44" i="5"/>
  <c r="T93" i="11"/>
  <c r="B22" i="4"/>
  <c r="G10" i="6"/>
  <c r="Q139" i="6"/>
  <c r="V57" i="12"/>
  <c r="F5" i="4"/>
  <c r="U111" i="10"/>
  <c r="V125" i="11"/>
  <c r="T97" i="6"/>
  <c r="T76" i="9"/>
  <c r="D30" i="10"/>
  <c r="U110" i="5"/>
  <c r="U104" i="10"/>
  <c r="S137" i="8"/>
  <c r="V145" i="4"/>
  <c r="V25" i="5"/>
  <c r="T142" i="11"/>
  <c r="C57" i="11"/>
  <c r="R114" i="5"/>
  <c r="Q12" i="8"/>
  <c r="Q80" i="11"/>
  <c r="T77" i="10"/>
  <c r="U106" i="12"/>
  <c r="F25" i="3"/>
  <c r="Q35" i="9"/>
  <c r="Q79" i="5"/>
  <c r="V35" i="4"/>
  <c r="V126" i="5"/>
  <c r="S141" i="10"/>
  <c r="U97" i="4"/>
  <c r="V105" i="3"/>
  <c r="V71" i="9"/>
  <c r="D21" i="4"/>
  <c r="E24" i="10"/>
  <c r="G17" i="7"/>
  <c r="T59" i="5"/>
  <c r="T85" i="8"/>
  <c r="S11" i="11"/>
  <c r="T50" i="5"/>
  <c r="G10" i="5"/>
  <c r="S10" i="3"/>
  <c r="G41" i="12"/>
  <c r="D20" i="4"/>
  <c r="U16" i="4"/>
  <c r="V64" i="4"/>
  <c r="V132" i="8"/>
  <c r="G40" i="12"/>
  <c r="E25" i="12"/>
  <c r="G27" i="8"/>
  <c r="R40" i="3"/>
  <c r="U31" i="4"/>
  <c r="Q26" i="4"/>
  <c r="B21" i="6"/>
  <c r="E62" i="6"/>
  <c r="E15" i="11"/>
  <c r="B43" i="4"/>
  <c r="F43" i="3"/>
  <c r="S68" i="10"/>
  <c r="F8" i="6"/>
  <c r="E50" i="10"/>
  <c r="T121" i="10"/>
  <c r="R39" i="6"/>
  <c r="E19" i="10"/>
  <c r="U35" i="4"/>
  <c r="G7" i="5"/>
  <c r="G18" i="6"/>
  <c r="S7" i="5"/>
  <c r="Q48" i="10"/>
  <c r="Q20" i="5"/>
  <c r="R56" i="11"/>
  <c r="Q61" i="7"/>
  <c r="R56" i="12"/>
  <c r="T127" i="11"/>
  <c r="S6" i="6"/>
  <c r="D15" i="4"/>
  <c r="R77" i="9"/>
  <c r="E9" i="11"/>
  <c r="T33" i="3"/>
  <c r="V143" i="6"/>
  <c r="T34" i="9"/>
  <c r="V100" i="9"/>
  <c r="C29" i="5"/>
  <c r="T66" i="7"/>
  <c r="T25" i="7"/>
  <c r="T130" i="12"/>
  <c r="R32" i="12"/>
  <c r="C37" i="12"/>
  <c r="Q68" i="9"/>
  <c r="Q126" i="12"/>
  <c r="U20" i="3"/>
  <c r="T123" i="3"/>
  <c r="U146" i="4"/>
  <c r="Q106" i="7"/>
  <c r="Q98" i="10"/>
  <c r="F42" i="11"/>
  <c r="F39" i="6"/>
  <c r="D19" i="12"/>
  <c r="E62" i="5"/>
  <c r="T41" i="7"/>
  <c r="R36" i="6"/>
  <c r="V127" i="6"/>
  <c r="Q67" i="12"/>
  <c r="B47" i="7"/>
  <c r="V20" i="10"/>
  <c r="S70" i="6"/>
  <c r="T119" i="12"/>
  <c r="V141" i="4"/>
  <c r="R51" i="6"/>
  <c r="U137" i="4"/>
  <c r="U150" i="7"/>
  <c r="R68" i="3"/>
  <c r="R145" i="11"/>
  <c r="R19" i="9"/>
  <c r="G10" i="4"/>
  <c r="F51" i="4"/>
  <c r="E36" i="11"/>
  <c r="G39" i="4"/>
  <c r="T127" i="10"/>
  <c r="U82" i="4"/>
  <c r="Q111" i="3"/>
  <c r="D39" i="3"/>
  <c r="G19" i="6"/>
  <c r="T67" i="8"/>
  <c r="T67" i="11"/>
  <c r="Q38" i="8"/>
  <c r="T89" i="11"/>
  <c r="T3" i="8"/>
  <c r="E37" i="6"/>
  <c r="F21" i="3"/>
  <c r="D3" i="8"/>
  <c r="R93" i="10"/>
  <c r="D60" i="10"/>
  <c r="T105" i="11"/>
  <c r="T85" i="5"/>
  <c r="S150" i="10"/>
  <c r="U96" i="9"/>
  <c r="V6" i="5"/>
  <c r="Q35" i="4"/>
  <c r="U118" i="7"/>
  <c r="B3" i="8"/>
  <c r="B35" i="9"/>
  <c r="R49" i="9"/>
  <c r="Q48" i="6"/>
  <c r="U150" i="4"/>
  <c r="T45" i="7"/>
  <c r="D9" i="11"/>
  <c r="R94" i="3"/>
  <c r="B9" i="6"/>
  <c r="E42" i="8"/>
  <c r="T5" i="3"/>
  <c r="R75" i="5"/>
  <c r="G44" i="5"/>
  <c r="E21" i="12"/>
  <c r="T58" i="6"/>
  <c r="G52" i="11"/>
  <c r="Q61" i="8"/>
  <c r="V123" i="5"/>
  <c r="V128" i="11"/>
  <c r="F8" i="7"/>
  <c r="U61" i="10"/>
  <c r="U26" i="9"/>
  <c r="U148" i="7"/>
  <c r="V20" i="4"/>
  <c r="C5" i="11"/>
  <c r="E54" i="8"/>
  <c r="U17" i="5"/>
  <c r="T147" i="10"/>
  <c r="R117" i="9"/>
  <c r="E47" i="10"/>
  <c r="B52" i="7"/>
  <c r="S56" i="3"/>
  <c r="U100" i="7"/>
  <c r="F39" i="5"/>
  <c r="Q48" i="4"/>
  <c r="V90" i="9"/>
  <c r="U43" i="3"/>
  <c r="S37" i="8"/>
  <c r="F23" i="11"/>
  <c r="U77" i="7"/>
  <c r="F48" i="5"/>
  <c r="Q149" i="6"/>
  <c r="G32" i="6"/>
  <c r="U43" i="8"/>
  <c r="G39" i="11"/>
  <c r="E49" i="3"/>
  <c r="D21" i="8"/>
  <c r="F21" i="10"/>
  <c r="F11" i="9"/>
  <c r="Q83" i="10"/>
  <c r="T4" i="7"/>
  <c r="V47" i="4"/>
  <c r="G25" i="10"/>
  <c r="C21" i="5"/>
  <c r="R21" i="10"/>
  <c r="R54" i="7"/>
  <c r="R72" i="7"/>
  <c r="E52" i="6"/>
  <c r="V21" i="4"/>
  <c r="F37" i="9"/>
  <c r="B43" i="11"/>
  <c r="C28" i="4"/>
  <c r="V111" i="7"/>
  <c r="F51" i="8"/>
  <c r="S8" i="3"/>
  <c r="V57" i="8"/>
  <c r="D26" i="8"/>
  <c r="S33" i="3"/>
  <c r="Q53" i="7"/>
  <c r="G34" i="9"/>
  <c r="T150" i="6"/>
  <c r="S6" i="10"/>
  <c r="U114" i="10"/>
  <c r="R44" i="3"/>
  <c r="T91" i="8"/>
  <c r="Q20" i="10"/>
  <c r="F26" i="12"/>
  <c r="R84" i="5"/>
  <c r="Q69" i="6"/>
  <c r="C37" i="7"/>
  <c r="C58" i="6"/>
  <c r="Q103" i="6"/>
  <c r="C33" i="10"/>
  <c r="B42" i="11"/>
  <c r="G41" i="4"/>
  <c r="V4" i="3"/>
  <c r="E8" i="8"/>
  <c r="G45" i="11"/>
  <c r="S21" i="3"/>
  <c r="T96" i="7"/>
  <c r="T136" i="9"/>
  <c r="G43" i="4"/>
  <c r="S42" i="8"/>
  <c r="Q26" i="7"/>
  <c r="R78" i="9"/>
  <c r="C34" i="7"/>
  <c r="Q144" i="9"/>
  <c r="D29" i="10"/>
  <c r="V65" i="9"/>
  <c r="U139" i="3"/>
  <c r="E13" i="5"/>
  <c r="R22" i="10"/>
  <c r="U131" i="9"/>
  <c r="Q4" i="4"/>
  <c r="V40" i="3"/>
  <c r="C49" i="8"/>
  <c r="C61" i="7"/>
  <c r="V77" i="12"/>
  <c r="R124" i="9"/>
  <c r="C28" i="5"/>
  <c r="V18" i="10"/>
  <c r="B4" i="7"/>
  <c r="V113" i="3"/>
  <c r="Q12" i="10"/>
  <c r="B29" i="9"/>
  <c r="T58" i="3"/>
  <c r="D63" i="6"/>
  <c r="Q100" i="7"/>
  <c r="E27" i="12"/>
  <c r="Q113" i="3"/>
  <c r="U141" i="12"/>
  <c r="S88" i="11"/>
  <c r="S56" i="10"/>
  <c r="E52" i="11"/>
  <c r="D8" i="6"/>
  <c r="R67" i="9"/>
  <c r="B6" i="11"/>
  <c r="Q131" i="3"/>
  <c r="G36" i="5"/>
  <c r="T83" i="10"/>
  <c r="T84" i="4"/>
  <c r="E44" i="12"/>
  <c r="G5" i="12"/>
  <c r="F44" i="5"/>
  <c r="S50" i="9"/>
  <c r="U3" i="8"/>
  <c r="Q54" i="9"/>
  <c r="F60" i="4"/>
  <c r="T16" i="11"/>
  <c r="T27" i="10"/>
  <c r="U19" i="10"/>
  <c r="R116" i="7"/>
  <c r="E35" i="10"/>
  <c r="S25" i="9"/>
  <c r="G37" i="3"/>
  <c r="C61" i="9"/>
  <c r="F28" i="10"/>
  <c r="R107" i="8"/>
  <c r="E45" i="6"/>
  <c r="F38" i="5"/>
  <c r="F51" i="3"/>
  <c r="E39" i="4"/>
  <c r="S36" i="4"/>
  <c r="R53" i="9"/>
  <c r="C56" i="5"/>
  <c r="E26" i="10"/>
  <c r="R57" i="6"/>
  <c r="D41" i="6"/>
  <c r="R104" i="9"/>
  <c r="V140" i="3"/>
  <c r="R133" i="8"/>
  <c r="Q34" i="10"/>
  <c r="D56" i="7"/>
  <c r="G61" i="3"/>
  <c r="E55" i="4"/>
  <c r="R139" i="3"/>
  <c r="U131" i="12"/>
  <c r="R121" i="9"/>
  <c r="E61" i="5"/>
  <c r="R131" i="7"/>
  <c r="U25" i="3"/>
  <c r="F59" i="12"/>
  <c r="S15" i="6"/>
  <c r="D11" i="7"/>
  <c r="U50" i="5"/>
  <c r="B53" i="4"/>
  <c r="R93" i="4"/>
  <c r="T62" i="11"/>
  <c r="T122" i="3"/>
  <c r="B38" i="3"/>
  <c r="R12" i="9"/>
  <c r="C3" i="12"/>
  <c r="Q17" i="7"/>
  <c r="S67" i="5"/>
  <c r="T89" i="8"/>
  <c r="B18" i="9"/>
  <c r="Q115" i="8"/>
  <c r="U17" i="7"/>
  <c r="S75" i="4"/>
  <c r="C25" i="4"/>
  <c r="S117" i="6"/>
  <c r="Q67" i="4"/>
  <c r="E38" i="5"/>
  <c r="T102" i="7"/>
  <c r="F40" i="7"/>
  <c r="T93" i="9"/>
  <c r="T101" i="5"/>
  <c r="V85" i="8"/>
  <c r="E29" i="6"/>
  <c r="S93" i="6"/>
  <c r="G48" i="12"/>
  <c r="R15" i="5"/>
  <c r="Q4" i="8"/>
  <c r="U116" i="11"/>
  <c r="T60" i="7"/>
  <c r="U10" i="6"/>
  <c r="R124" i="7"/>
  <c r="S57" i="6"/>
  <c r="S42" i="3"/>
  <c r="F24" i="3"/>
  <c r="S80" i="8"/>
  <c r="V44" i="7"/>
  <c r="U25" i="10"/>
  <c r="F62" i="7"/>
  <c r="E58" i="9"/>
  <c r="R126" i="8"/>
  <c r="E7" i="7"/>
  <c r="R146" i="4"/>
  <c r="S88" i="8"/>
  <c r="U67" i="11"/>
  <c r="R87" i="6"/>
  <c r="T36" i="4"/>
  <c r="S120" i="5"/>
  <c r="U113" i="5"/>
  <c r="T35" i="7"/>
  <c r="E12" i="11"/>
  <c r="E50" i="11"/>
  <c r="D3" i="11"/>
  <c r="B42" i="3"/>
  <c r="D62" i="3"/>
  <c r="U142" i="12"/>
  <c r="Q30" i="3"/>
  <c r="C23" i="6"/>
  <c r="V26" i="7"/>
  <c r="F12" i="10"/>
  <c r="S43" i="5"/>
  <c r="U52" i="7"/>
  <c r="F48" i="7"/>
  <c r="F30" i="5"/>
  <c r="Q6" i="8"/>
  <c r="T20" i="4"/>
  <c r="Q147" i="12"/>
  <c r="B20" i="3"/>
  <c r="D54" i="7"/>
  <c r="Q65" i="11"/>
  <c r="T11" i="6"/>
  <c r="E29" i="7"/>
  <c r="G44" i="9"/>
  <c r="Q99" i="6"/>
  <c r="Q90" i="4"/>
  <c r="S25" i="11"/>
  <c r="Q23" i="7"/>
  <c r="V118" i="4"/>
  <c r="U52" i="4"/>
  <c r="C56" i="7"/>
  <c r="E20" i="8"/>
  <c r="U129" i="3"/>
  <c r="T41" i="12"/>
  <c r="U48" i="3"/>
  <c r="D51" i="9"/>
  <c r="G37" i="6"/>
  <c r="F6" i="6"/>
  <c r="G17" i="6"/>
  <c r="V38" i="7"/>
  <c r="C9" i="9"/>
  <c r="G9" i="6"/>
  <c r="U27" i="11"/>
  <c r="Q56" i="8"/>
  <c r="Q136" i="7"/>
  <c r="Q55" i="6"/>
  <c r="D15" i="10"/>
  <c r="S83" i="5"/>
  <c r="B54" i="5"/>
  <c r="V60" i="7"/>
  <c r="T97" i="5"/>
  <c r="F36" i="7"/>
  <c r="D41" i="12"/>
  <c r="D4" i="12"/>
  <c r="R121" i="11"/>
  <c r="V13" i="4"/>
  <c r="T97" i="8"/>
  <c r="R145" i="3"/>
  <c r="S67" i="3"/>
  <c r="U125" i="6"/>
  <c r="R92" i="11"/>
  <c r="S73" i="7"/>
  <c r="R21" i="11"/>
  <c r="U34" i="3"/>
  <c r="U15" i="8"/>
  <c r="T99" i="6"/>
  <c r="Q42" i="3"/>
  <c r="Q145" i="10"/>
  <c r="U116" i="5"/>
  <c r="V32" i="9"/>
  <c r="U5" i="4"/>
  <c r="D49" i="3"/>
  <c r="T80" i="5"/>
  <c r="S127" i="3"/>
  <c r="C18" i="5"/>
  <c r="V13" i="3"/>
  <c r="R45" i="11"/>
  <c r="T84" i="11"/>
  <c r="S74" i="10"/>
  <c r="U59" i="6"/>
  <c r="T13" i="8"/>
  <c r="U140" i="12"/>
  <c r="T94" i="8"/>
  <c r="E22" i="7"/>
  <c r="T23" i="8"/>
  <c r="S36" i="9"/>
  <c r="U41" i="11"/>
  <c r="U130" i="7"/>
  <c r="R48" i="5"/>
  <c r="T116" i="7"/>
  <c r="G19" i="10"/>
  <c r="C18" i="6"/>
  <c r="U94" i="7"/>
  <c r="D20" i="11"/>
  <c r="T136" i="8"/>
  <c r="R123" i="3"/>
  <c r="V75" i="9"/>
  <c r="B38" i="12"/>
  <c r="V128" i="3"/>
  <c r="R62" i="7"/>
  <c r="U101" i="11"/>
  <c r="B7" i="4"/>
  <c r="U39" i="11"/>
  <c r="D31" i="4"/>
  <c r="Q114" i="11"/>
  <c r="S26" i="6"/>
  <c r="V134" i="9"/>
  <c r="T34" i="7"/>
  <c r="Q6" i="3"/>
  <c r="G49" i="7"/>
  <c r="Q88" i="5"/>
  <c r="S107" i="3"/>
  <c r="U3" i="5"/>
  <c r="D44" i="11"/>
  <c r="R146" i="9"/>
  <c r="C26" i="3"/>
  <c r="R92" i="7"/>
  <c r="R136" i="8"/>
  <c r="E39" i="6"/>
  <c r="S149" i="11"/>
  <c r="T9" i="11"/>
  <c r="U118" i="6"/>
  <c r="G39" i="9"/>
  <c r="D35" i="10"/>
  <c r="V30" i="10"/>
  <c r="C26" i="5"/>
  <c r="R100" i="8"/>
  <c r="D20" i="8"/>
  <c r="E24" i="6"/>
  <c r="T106" i="6"/>
  <c r="S90" i="12"/>
  <c r="E55" i="9"/>
  <c r="C57" i="5"/>
  <c r="V45" i="6"/>
  <c r="R38" i="5"/>
  <c r="Q62" i="8"/>
  <c r="S135" i="8"/>
  <c r="U137" i="6"/>
  <c r="E56" i="4"/>
  <c r="G12" i="3"/>
  <c r="Q8" i="3"/>
  <c r="S7" i="9"/>
  <c r="R24" i="5"/>
  <c r="E5" i="6"/>
  <c r="B43" i="7"/>
  <c r="V99" i="5"/>
  <c r="T38" i="3"/>
  <c r="Q150" i="9"/>
  <c r="E3" i="3"/>
  <c r="U147" i="7"/>
  <c r="E61" i="4"/>
  <c r="U104" i="8"/>
  <c r="V9" i="10"/>
  <c r="T124" i="9"/>
  <c r="G14" i="6"/>
  <c r="Q31" i="3"/>
  <c r="R90" i="8"/>
  <c r="U19" i="9"/>
  <c r="G30" i="7"/>
  <c r="F6" i="3"/>
  <c r="Q83" i="6"/>
  <c r="R90" i="7"/>
  <c r="Q92" i="6"/>
  <c r="V146" i="9"/>
  <c r="S107" i="11"/>
  <c r="R12" i="10"/>
  <c r="T49" i="6"/>
  <c r="U49" i="3"/>
  <c r="V51" i="6"/>
  <c r="B51" i="5"/>
  <c r="Q21" i="7"/>
  <c r="V22" i="4"/>
  <c r="T83" i="9"/>
  <c r="T82" i="7"/>
  <c r="D61" i="6"/>
  <c r="B15" i="7"/>
  <c r="B54" i="8"/>
  <c r="E20" i="7"/>
  <c r="C37" i="4"/>
  <c r="C49" i="5"/>
  <c r="C39" i="12"/>
  <c r="C18" i="11"/>
  <c r="E57" i="6"/>
  <c r="S66" i="11"/>
  <c r="R78" i="7"/>
  <c r="T132" i="6"/>
  <c r="C47" i="10"/>
  <c r="S33" i="4"/>
  <c r="E57" i="5"/>
  <c r="D36" i="11"/>
  <c r="G56" i="11"/>
  <c r="D45" i="5"/>
  <c r="E9" i="3"/>
  <c r="B45" i="9"/>
  <c r="T51" i="4"/>
  <c r="S104" i="4"/>
  <c r="B7" i="9"/>
  <c r="Q10" i="12"/>
  <c r="E48" i="12"/>
  <c r="T41" i="6"/>
  <c r="D23" i="7"/>
  <c r="U105" i="5"/>
  <c r="Q93" i="4"/>
  <c r="Q94" i="5"/>
  <c r="R107" i="10"/>
  <c r="G39" i="10"/>
  <c r="T65" i="5"/>
  <c r="T32" i="4"/>
  <c r="V43" i="12"/>
  <c r="U73" i="10"/>
  <c r="S75" i="9"/>
  <c r="U144" i="4"/>
  <c r="V129" i="9"/>
  <c r="C63" i="7"/>
  <c r="Q76" i="9"/>
  <c r="U148" i="5"/>
  <c r="E28" i="7"/>
  <c r="B9" i="3"/>
  <c r="T7" i="7"/>
  <c r="R57" i="9"/>
  <c r="Q27" i="10"/>
  <c r="T18" i="7"/>
  <c r="F41" i="3"/>
  <c r="D17" i="11"/>
  <c r="B59" i="7"/>
  <c r="Q42" i="8"/>
  <c r="C62" i="7"/>
  <c r="Q149" i="5"/>
  <c r="U30" i="3"/>
  <c r="V14" i="6"/>
  <c r="Q131" i="6"/>
  <c r="T57" i="12"/>
  <c r="E7" i="6"/>
  <c r="C10" i="12"/>
  <c r="U50" i="7"/>
  <c r="R55" i="6"/>
  <c r="D28" i="11"/>
  <c r="F31" i="6"/>
  <c r="T121" i="8"/>
  <c r="D34" i="6"/>
  <c r="S47" i="6"/>
  <c r="D6" i="11"/>
  <c r="F20" i="5"/>
  <c r="Q128" i="4"/>
  <c r="T3" i="3"/>
  <c r="U116" i="3"/>
  <c r="T95" i="10"/>
  <c r="F36" i="8"/>
  <c r="B60" i="6"/>
  <c r="S16" i="10"/>
  <c r="U106" i="7"/>
  <c r="G19" i="9"/>
  <c r="S126" i="5"/>
  <c r="Q108" i="7"/>
  <c r="B27" i="3"/>
  <c r="G55" i="6"/>
  <c r="E29" i="8"/>
  <c r="F6" i="10"/>
  <c r="R36" i="9"/>
  <c r="T111" i="7"/>
  <c r="Q49" i="9"/>
  <c r="U13" i="6"/>
  <c r="G3" i="4"/>
  <c r="V117" i="12"/>
  <c r="T113" i="4"/>
  <c r="E26" i="9"/>
  <c r="B57" i="11"/>
  <c r="T16" i="12"/>
  <c r="Q87" i="3"/>
  <c r="C17" i="10"/>
  <c r="C35" i="10"/>
  <c r="U24" i="9"/>
  <c r="R115" i="11"/>
  <c r="B59" i="8"/>
  <c r="B16" i="6"/>
  <c r="B34" i="8"/>
  <c r="Q101" i="10"/>
  <c r="Q17" i="12"/>
  <c r="V97" i="11"/>
  <c r="T114" i="7"/>
  <c r="S81" i="5"/>
  <c r="C22" i="9"/>
  <c r="U43" i="7"/>
  <c r="B60" i="3"/>
  <c r="T33" i="6"/>
  <c r="Q138" i="6"/>
  <c r="V37" i="7"/>
  <c r="R3" i="6"/>
  <c r="V11" i="10"/>
  <c r="E26" i="12"/>
  <c r="E27" i="3"/>
  <c r="E7" i="3"/>
  <c r="V25" i="3"/>
  <c r="C43" i="10"/>
  <c r="F27" i="10"/>
  <c r="B36" i="5"/>
  <c r="F46" i="6"/>
  <c r="F54" i="10"/>
  <c r="U133" i="6"/>
  <c r="F14" i="4"/>
  <c r="G24" i="9"/>
  <c r="T111" i="10"/>
  <c r="T22" i="4"/>
  <c r="D63" i="10"/>
  <c r="U117" i="4"/>
  <c r="U62" i="5"/>
  <c r="B29" i="12"/>
  <c r="E25" i="11"/>
  <c r="U144" i="11"/>
  <c r="C35" i="9"/>
  <c r="F6" i="7"/>
  <c r="Q57" i="3"/>
  <c r="D23" i="11"/>
  <c r="V76" i="11"/>
  <c r="B45" i="3"/>
  <c r="R31" i="4"/>
  <c r="C17" i="11"/>
  <c r="R66" i="9"/>
  <c r="R6" i="7"/>
  <c r="V16" i="7"/>
  <c r="C45" i="12"/>
  <c r="C12" i="4"/>
  <c r="S140" i="4"/>
  <c r="R14" i="7"/>
  <c r="S40" i="6"/>
  <c r="S117" i="7"/>
  <c r="V131" i="6"/>
  <c r="G31" i="11"/>
  <c r="S103" i="7"/>
  <c r="B30" i="8"/>
  <c r="D39" i="8"/>
  <c r="V91" i="7"/>
  <c r="S23" i="7"/>
  <c r="U40" i="4"/>
  <c r="V16" i="4"/>
  <c r="E21" i="9"/>
  <c r="V58" i="11"/>
  <c r="G46" i="9"/>
  <c r="B5" i="11"/>
  <c r="S39" i="10"/>
  <c r="U114" i="8"/>
  <c r="V139" i="3"/>
  <c r="E60" i="7"/>
  <c r="V110" i="7"/>
  <c r="S81" i="3"/>
  <c r="T108" i="4"/>
  <c r="T100" i="3"/>
  <c r="Q17" i="4"/>
  <c r="T16" i="7"/>
  <c r="G16" i="5"/>
  <c r="D30" i="6"/>
  <c r="S139" i="4"/>
  <c r="R106" i="12"/>
  <c r="V114" i="10"/>
  <c r="Q30" i="11"/>
  <c r="R146" i="6"/>
  <c r="R57" i="11"/>
  <c r="D5" i="4"/>
  <c r="D35" i="11"/>
  <c r="U130" i="6"/>
  <c r="Q7" i="4"/>
  <c r="S64" i="11"/>
  <c r="S65" i="3"/>
  <c r="R4" i="3"/>
  <c r="V37" i="3"/>
  <c r="S27" i="4"/>
  <c r="Q20" i="8"/>
  <c r="V123" i="4"/>
  <c r="R69" i="12"/>
  <c r="T121" i="9"/>
  <c r="T135" i="9"/>
  <c r="V12" i="3"/>
  <c r="E56" i="3"/>
  <c r="S101" i="7"/>
  <c r="V105" i="6"/>
  <c r="C23" i="8"/>
  <c r="T111" i="3"/>
  <c r="D63" i="8"/>
  <c r="U140" i="4"/>
  <c r="R11" i="6"/>
  <c r="D7" i="12"/>
  <c r="T26" i="10"/>
  <c r="U39" i="5"/>
  <c r="G35" i="6"/>
  <c r="S64" i="6"/>
  <c r="R129" i="6"/>
  <c r="V84" i="8"/>
  <c r="Q68" i="4"/>
  <c r="C22" i="5"/>
  <c r="D38" i="4"/>
  <c r="Q25" i="3"/>
  <c r="V126" i="6"/>
  <c r="R147" i="3"/>
  <c r="F9" i="3"/>
  <c r="Q41" i="6"/>
  <c r="E59" i="11"/>
  <c r="V109" i="8"/>
  <c r="T127" i="7"/>
  <c r="G43" i="5"/>
  <c r="C49" i="9"/>
  <c r="C29" i="6"/>
  <c r="B23" i="6"/>
  <c r="T51" i="11"/>
  <c r="V22" i="3"/>
  <c r="R26" i="12"/>
  <c r="R126" i="7"/>
  <c r="B32" i="7"/>
  <c r="S19" i="10"/>
  <c r="Q105" i="9"/>
  <c r="Q36" i="7"/>
  <c r="D16" i="9"/>
  <c r="B17" i="9"/>
  <c r="C42" i="10"/>
  <c r="S20" i="12"/>
  <c r="E39" i="5"/>
  <c r="U81" i="4"/>
  <c r="T127" i="9"/>
  <c r="U16" i="10"/>
  <c r="Q70" i="4"/>
  <c r="V75" i="12"/>
  <c r="F5" i="12"/>
  <c r="V37" i="9"/>
  <c r="U111" i="8"/>
  <c r="U98" i="6"/>
  <c r="S48" i="6"/>
  <c r="S139" i="7"/>
  <c r="G18" i="4"/>
  <c r="R114" i="10"/>
  <c r="U11" i="12"/>
  <c r="Q90" i="11"/>
  <c r="S3" i="5"/>
  <c r="T26" i="8"/>
  <c r="E25" i="3"/>
  <c r="V103" i="10"/>
  <c r="Q9" i="11"/>
  <c r="U73" i="11"/>
  <c r="S101" i="12"/>
  <c r="C32" i="10"/>
  <c r="U25" i="7"/>
  <c r="Q52" i="3"/>
  <c r="R14" i="3"/>
  <c r="F26" i="8"/>
  <c r="S98" i="4"/>
  <c r="G15" i="4"/>
  <c r="F11" i="8"/>
  <c r="C30" i="7"/>
  <c r="E49" i="5"/>
  <c r="V89" i="8"/>
  <c r="U93" i="3"/>
  <c r="C30" i="3"/>
  <c r="T129" i="11"/>
  <c r="F19" i="11"/>
  <c r="G43" i="6"/>
  <c r="U22" i="4"/>
  <c r="T105" i="12"/>
  <c r="U77" i="11"/>
  <c r="C52" i="12"/>
  <c r="E41" i="9"/>
  <c r="V15" i="10"/>
  <c r="F61" i="6"/>
  <c r="R68" i="6"/>
  <c r="V83" i="9"/>
  <c r="S142" i="12"/>
  <c r="T78" i="4"/>
  <c r="U148" i="4"/>
  <c r="Q95" i="11"/>
  <c r="T49" i="9"/>
  <c r="R89" i="6"/>
  <c r="S121" i="9"/>
  <c r="C39" i="4"/>
  <c r="U91" i="7"/>
  <c r="R86" i="5"/>
  <c r="Q37" i="8"/>
  <c r="E12" i="7"/>
  <c r="C10" i="9"/>
  <c r="T106" i="3"/>
  <c r="E49" i="7"/>
  <c r="T96" i="3"/>
  <c r="Q107" i="7"/>
  <c r="T39" i="9"/>
  <c r="E17" i="10"/>
  <c r="G47" i="7"/>
  <c r="T63" i="4"/>
  <c r="B56" i="11"/>
  <c r="T14" i="8"/>
  <c r="U55" i="5"/>
  <c r="S143" i="12"/>
  <c r="E59" i="4"/>
  <c r="D42" i="9"/>
  <c r="T117" i="9"/>
  <c r="T135" i="8"/>
  <c r="U86" i="7"/>
  <c r="C13" i="3"/>
  <c r="F31" i="10"/>
  <c r="U43" i="12"/>
  <c r="U53" i="11"/>
  <c r="U113" i="4"/>
  <c r="T6" i="12"/>
  <c r="E44" i="9"/>
  <c r="D48" i="3"/>
  <c r="V5" i="5"/>
  <c r="B29" i="5"/>
  <c r="S142" i="4"/>
  <c r="R127" i="10"/>
  <c r="T104" i="6"/>
  <c r="F29" i="3"/>
  <c r="C7" i="3"/>
  <c r="U108" i="8"/>
  <c r="R118" i="4"/>
  <c r="R96" i="10"/>
  <c r="S80" i="4"/>
  <c r="R86" i="9"/>
  <c r="Q86" i="3"/>
  <c r="Q118" i="11"/>
  <c r="R137" i="12"/>
  <c r="T45" i="6"/>
  <c r="R25" i="11"/>
  <c r="D53" i="12"/>
  <c r="F29" i="12"/>
  <c r="R110" i="7"/>
  <c r="B37" i="7"/>
  <c r="Q132" i="7"/>
  <c r="Q71" i="12"/>
  <c r="U32" i="3"/>
  <c r="S63" i="8"/>
  <c r="V119" i="8"/>
  <c r="U78" i="3"/>
  <c r="B48" i="12"/>
  <c r="U97" i="5"/>
  <c r="R99" i="5"/>
  <c r="S87" i="6"/>
  <c r="V85" i="7"/>
  <c r="S46" i="7"/>
  <c r="G47" i="3"/>
  <c r="Q18" i="8"/>
  <c r="Q62" i="11"/>
  <c r="S50" i="8"/>
  <c r="B61" i="11"/>
  <c r="R15" i="6"/>
  <c r="V117" i="6"/>
  <c r="S128" i="5"/>
  <c r="E46" i="12"/>
  <c r="R86" i="7"/>
  <c r="R105" i="3"/>
  <c r="F36" i="10"/>
  <c r="S20" i="6"/>
  <c r="R67" i="12"/>
  <c r="B62" i="7"/>
  <c r="R5" i="5"/>
  <c r="C15" i="8"/>
  <c r="V49" i="4"/>
  <c r="S140" i="7"/>
  <c r="Q16" i="12"/>
  <c r="Q21" i="3"/>
  <c r="V137" i="3"/>
  <c r="E55" i="11"/>
  <c r="S102" i="12"/>
  <c r="U54" i="3"/>
  <c r="G15" i="10"/>
  <c r="V102" i="9"/>
  <c r="C51" i="5"/>
  <c r="R108" i="4"/>
  <c r="C53" i="4"/>
  <c r="F44" i="9"/>
  <c r="B5" i="7"/>
  <c r="R141" i="11"/>
  <c r="R143" i="11"/>
  <c r="D30" i="5"/>
  <c r="U105" i="11"/>
  <c r="S87" i="11"/>
  <c r="Q37" i="3"/>
  <c r="Q61" i="11"/>
  <c r="C15" i="12"/>
  <c r="R130" i="5"/>
  <c r="C42" i="12"/>
  <c r="V138" i="5"/>
  <c r="B5" i="5"/>
  <c r="C52" i="3"/>
  <c r="C62" i="12"/>
  <c r="Q35" i="6"/>
  <c r="U91" i="5"/>
  <c r="D36" i="9"/>
  <c r="Q71" i="4"/>
  <c r="C47" i="8"/>
  <c r="G5" i="4"/>
  <c r="F33" i="5"/>
  <c r="G37" i="4"/>
  <c r="D45" i="11"/>
  <c r="R102" i="8"/>
  <c r="E28" i="6"/>
  <c r="F9" i="10"/>
  <c r="C43" i="4"/>
  <c r="Q98" i="7"/>
  <c r="U114" i="3"/>
  <c r="S22" i="10"/>
  <c r="T9" i="10"/>
  <c r="D14" i="11"/>
  <c r="T87" i="4"/>
  <c r="T128" i="4"/>
  <c r="Q133" i="4"/>
  <c r="S47" i="11"/>
  <c r="S55" i="11"/>
  <c r="S49" i="3"/>
  <c r="S17" i="11"/>
  <c r="U142" i="9"/>
  <c r="Q5" i="6"/>
  <c r="V86" i="9"/>
  <c r="G52" i="7"/>
  <c r="S48" i="9"/>
  <c r="F25" i="11"/>
  <c r="C50" i="4"/>
  <c r="G14" i="8"/>
  <c r="T16" i="3"/>
  <c r="T106" i="8"/>
  <c r="Q104" i="8"/>
  <c r="C52" i="4"/>
  <c r="B24" i="6"/>
  <c r="B33" i="9"/>
  <c r="F42" i="3"/>
  <c r="E39" i="10"/>
  <c r="B42" i="7"/>
  <c r="S51" i="7"/>
  <c r="R38" i="3"/>
  <c r="D7" i="10"/>
  <c r="U27" i="8"/>
  <c r="D38" i="8"/>
  <c r="V131" i="5"/>
  <c r="F24" i="8"/>
  <c r="E36" i="8"/>
  <c r="Q142" i="6"/>
  <c r="U106" i="10"/>
  <c r="F6" i="4"/>
  <c r="Q38" i="7"/>
  <c r="T84" i="3"/>
  <c r="R10" i="3"/>
  <c r="T25" i="9"/>
  <c r="S24" i="10"/>
  <c r="V77" i="6"/>
  <c r="S143" i="8"/>
  <c r="R30" i="4"/>
  <c r="B28" i="3"/>
  <c r="Q36" i="4"/>
  <c r="F39" i="11"/>
  <c r="D7" i="11"/>
  <c r="F39" i="3"/>
  <c r="U127" i="6"/>
  <c r="B28" i="11"/>
  <c r="F57" i="4"/>
  <c r="S108" i="3"/>
  <c r="F63" i="8"/>
  <c r="T19" i="10"/>
  <c r="U46" i="9"/>
  <c r="Q11" i="5"/>
  <c r="S39" i="8"/>
  <c r="E55" i="5"/>
  <c r="V87" i="8"/>
  <c r="F63" i="10"/>
  <c r="U74" i="7"/>
  <c r="R52" i="5"/>
  <c r="B50" i="5"/>
  <c r="Q22" i="4"/>
  <c r="S52" i="10"/>
  <c r="U131" i="7"/>
  <c r="G52" i="6"/>
  <c r="B8" i="6"/>
  <c r="B50" i="6"/>
  <c r="T27" i="12"/>
  <c r="R76" i="11"/>
  <c r="G9" i="5"/>
  <c r="V8" i="8"/>
  <c r="G18" i="7"/>
  <c r="T75" i="9"/>
  <c r="F6" i="12"/>
  <c r="T37" i="5"/>
  <c r="T34" i="8"/>
  <c r="E60" i="10"/>
  <c r="S14" i="7"/>
  <c r="S79" i="8"/>
  <c r="V149" i="5"/>
  <c r="Q107" i="10"/>
  <c r="C12" i="12"/>
  <c r="V21" i="10"/>
  <c r="Q45" i="3"/>
  <c r="F55" i="9"/>
  <c r="C29" i="3"/>
  <c r="T99" i="5"/>
  <c r="V117" i="7"/>
  <c r="S80" i="11"/>
  <c r="S102" i="3"/>
  <c r="V19" i="3"/>
  <c r="T60" i="5"/>
  <c r="F15" i="6"/>
  <c r="U70" i="8"/>
  <c r="T41" i="8"/>
  <c r="C16" i="9"/>
  <c r="B27" i="12"/>
  <c r="Q117" i="11"/>
  <c r="U130" i="11"/>
  <c r="U104" i="9"/>
  <c r="E30" i="8"/>
  <c r="D18" i="9"/>
  <c r="U133" i="4"/>
  <c r="F36" i="4"/>
  <c r="T27" i="3"/>
  <c r="R64" i="8"/>
  <c r="V91" i="3"/>
  <c r="E62" i="10"/>
  <c r="S149" i="4"/>
  <c r="R133" i="6"/>
  <c r="E52" i="12"/>
  <c r="G55" i="4"/>
  <c r="V77" i="3"/>
  <c r="Q19" i="6"/>
  <c r="U18" i="9"/>
  <c r="S125" i="3"/>
  <c r="F7" i="9"/>
  <c r="T131" i="9"/>
  <c r="G47" i="5"/>
  <c r="F58" i="6"/>
  <c r="F50" i="5"/>
  <c r="E41" i="8"/>
  <c r="Q13" i="6"/>
  <c r="T106" i="11"/>
  <c r="V48" i="3"/>
  <c r="S20" i="11"/>
  <c r="R59" i="7"/>
  <c r="S31" i="4"/>
  <c r="E37" i="10"/>
  <c r="U66" i="5"/>
  <c r="F12" i="12"/>
  <c r="Q110" i="3"/>
  <c r="C61" i="3"/>
  <c r="D14" i="12"/>
  <c r="C29" i="9"/>
  <c r="Q150" i="3"/>
  <c r="S99" i="4"/>
  <c r="B9" i="7"/>
  <c r="U10" i="7"/>
  <c r="G62" i="6"/>
  <c r="U7" i="10"/>
  <c r="Q69" i="5"/>
  <c r="D33" i="8"/>
  <c r="D9" i="6"/>
  <c r="V144" i="4"/>
  <c r="R99" i="4"/>
  <c r="E63" i="6"/>
  <c r="B28" i="6"/>
  <c r="E8" i="7"/>
  <c r="Q94" i="7"/>
  <c r="R52" i="8"/>
  <c r="S95" i="5"/>
  <c r="B13" i="8"/>
  <c r="D3" i="3"/>
  <c r="B25" i="11"/>
  <c r="F34" i="4"/>
  <c r="U22" i="5"/>
  <c r="D6" i="5"/>
  <c r="D12" i="3"/>
  <c r="U12" i="6"/>
  <c r="C17" i="3"/>
  <c r="U124" i="12"/>
  <c r="S36" i="6"/>
  <c r="U12" i="7"/>
  <c r="Q84" i="4"/>
  <c r="U94" i="12"/>
  <c r="D55" i="5"/>
  <c r="T120" i="8"/>
  <c r="T145" i="4"/>
  <c r="S121" i="4"/>
  <c r="G45" i="8"/>
  <c r="R122" i="5"/>
  <c r="T57" i="3"/>
  <c r="B4" i="12"/>
  <c r="Q52" i="10"/>
  <c r="R139" i="12"/>
  <c r="C21" i="12"/>
  <c r="B50" i="9"/>
  <c r="D62" i="9"/>
  <c r="R94" i="9"/>
  <c r="T108" i="5"/>
  <c r="V16" i="10"/>
  <c r="S77" i="6"/>
  <c r="V79" i="6"/>
  <c r="R79" i="4"/>
  <c r="E38" i="3"/>
  <c r="F28" i="6"/>
  <c r="V103" i="4"/>
  <c r="U97" i="11"/>
  <c r="T90" i="5"/>
  <c r="V91" i="9"/>
  <c r="C36" i="4"/>
  <c r="V42" i="3"/>
  <c r="G21" i="3"/>
  <c r="D49" i="11"/>
  <c r="V56" i="11"/>
  <c r="R83" i="4"/>
  <c r="Q126" i="8"/>
  <c r="S144" i="5"/>
  <c r="V44" i="11"/>
  <c r="R11" i="7"/>
  <c r="G6" i="11"/>
  <c r="R8" i="3"/>
  <c r="V105" i="7"/>
  <c r="Q79" i="4"/>
  <c r="E27" i="10"/>
  <c r="D5" i="5"/>
  <c r="E61" i="10"/>
  <c r="R22" i="6"/>
  <c r="U14" i="7"/>
  <c r="R54" i="3"/>
  <c r="R134" i="5"/>
  <c r="V148" i="6"/>
  <c r="R143" i="9"/>
  <c r="D38" i="6"/>
  <c r="R113" i="11"/>
  <c r="R66" i="5"/>
  <c r="Q26" i="11"/>
  <c r="U60" i="9"/>
  <c r="S71" i="4"/>
  <c r="B17" i="6"/>
  <c r="Q50" i="10"/>
  <c r="U61" i="4"/>
  <c r="C41" i="3"/>
  <c r="T109" i="3"/>
  <c r="U124" i="6"/>
  <c r="C23" i="11"/>
  <c r="B45" i="8"/>
  <c r="S42" i="5"/>
  <c r="T146" i="4"/>
  <c r="S57" i="11"/>
  <c r="Q129" i="3"/>
  <c r="S67" i="11"/>
  <c r="T149" i="7"/>
  <c r="T115" i="12"/>
  <c r="S134" i="11"/>
  <c r="V64" i="12"/>
  <c r="B56" i="7"/>
  <c r="R120" i="4"/>
  <c r="U60" i="11"/>
  <c r="S143" i="10"/>
  <c r="U115" i="9"/>
  <c r="F32" i="7"/>
  <c r="Q5" i="10"/>
  <c r="S41" i="4"/>
  <c r="R149" i="9"/>
  <c r="F63" i="3"/>
  <c r="F13" i="10"/>
  <c r="G7" i="6"/>
  <c r="V110" i="6"/>
  <c r="D15" i="12"/>
  <c r="E36" i="5"/>
  <c r="R54" i="12"/>
  <c r="R63" i="5"/>
  <c r="Q127" i="4"/>
  <c r="B26" i="3"/>
  <c r="R76" i="10"/>
  <c r="S65" i="4"/>
  <c r="Q21" i="8"/>
  <c r="C11" i="3"/>
  <c r="E59" i="6"/>
  <c r="V86" i="11"/>
  <c r="T49" i="5"/>
  <c r="C7" i="9"/>
  <c r="D53" i="10"/>
  <c r="V15" i="3"/>
  <c r="S34" i="6"/>
  <c r="R55" i="8"/>
  <c r="T100" i="8"/>
  <c r="T112" i="7"/>
  <c r="T6" i="6"/>
  <c r="U135" i="5"/>
  <c r="Q128" i="10"/>
  <c r="G11" i="12"/>
  <c r="G40" i="9"/>
  <c r="U92" i="3"/>
  <c r="U64" i="8"/>
  <c r="S21" i="12"/>
  <c r="R64" i="5"/>
  <c r="C54" i="12"/>
  <c r="E37" i="8"/>
  <c r="D58" i="3"/>
  <c r="U51" i="7"/>
  <c r="Q99" i="10"/>
  <c r="S86" i="7"/>
  <c r="B32" i="4"/>
  <c r="E32" i="10"/>
  <c r="B9" i="5"/>
  <c r="S21" i="10"/>
  <c r="R62" i="11"/>
  <c r="T110" i="12"/>
  <c r="G12" i="5"/>
  <c r="Q129" i="4"/>
  <c r="F27" i="5"/>
  <c r="S119" i="5"/>
  <c r="R93" i="9"/>
  <c r="F52" i="7"/>
  <c r="V92" i="8"/>
  <c r="E41" i="3"/>
  <c r="T21" i="10"/>
  <c r="V73" i="11"/>
  <c r="E40" i="4"/>
  <c r="F23" i="12"/>
  <c r="E41" i="4"/>
  <c r="G29" i="4"/>
  <c r="S87" i="5"/>
  <c r="C58" i="9"/>
  <c r="S148" i="6"/>
  <c r="D14" i="8"/>
  <c r="S104" i="12"/>
  <c r="S83" i="9"/>
  <c r="E46" i="10"/>
  <c r="C18" i="8"/>
  <c r="R87" i="11"/>
  <c r="T101" i="12"/>
  <c r="Q34" i="4"/>
  <c r="V135" i="7"/>
  <c r="C31" i="9"/>
  <c r="C49" i="6"/>
  <c r="S100" i="12"/>
  <c r="Q87" i="6"/>
  <c r="V130" i="3"/>
  <c r="Q18" i="7"/>
  <c r="E9" i="8"/>
  <c r="B47" i="12"/>
  <c r="T69" i="9"/>
  <c r="D43" i="9"/>
  <c r="C25" i="8"/>
  <c r="T122" i="4"/>
  <c r="E42" i="11"/>
  <c r="T61" i="12"/>
  <c r="V118" i="6"/>
  <c r="E5" i="12"/>
  <c r="B11" i="12"/>
  <c r="U37" i="6"/>
  <c r="D22" i="5"/>
  <c r="B7" i="3"/>
  <c r="R10" i="9"/>
  <c r="B11" i="10"/>
  <c r="S16" i="4"/>
  <c r="G25" i="11"/>
  <c r="S77" i="7"/>
  <c r="S111" i="5"/>
  <c r="U45" i="5"/>
  <c r="T110" i="9"/>
  <c r="T12" i="4"/>
  <c r="S9" i="11"/>
  <c r="R17" i="7"/>
  <c r="S117" i="11"/>
  <c r="R78" i="4"/>
  <c r="C33" i="7"/>
  <c r="V76" i="4"/>
  <c r="S72" i="4"/>
  <c r="U117" i="7"/>
  <c r="V62" i="4"/>
  <c r="F42" i="4"/>
  <c r="C58" i="12"/>
  <c r="F9" i="9"/>
  <c r="B63" i="4"/>
  <c r="V7" i="4"/>
  <c r="U7" i="11"/>
  <c r="S14" i="11"/>
  <c r="Q5" i="12"/>
  <c r="B46" i="5"/>
  <c r="S141" i="5"/>
  <c r="S133" i="4"/>
  <c r="Q90" i="12"/>
  <c r="V35" i="5"/>
  <c r="R73" i="9"/>
  <c r="Q7" i="11"/>
  <c r="Q12" i="12"/>
  <c r="U63" i="12"/>
  <c r="B30" i="7"/>
  <c r="V21" i="8"/>
  <c r="U30" i="7"/>
  <c r="G14" i="5"/>
  <c r="F12" i="5"/>
  <c r="T49" i="4"/>
  <c r="S128" i="4"/>
  <c r="S8" i="4"/>
  <c r="F7" i="11"/>
  <c r="F50" i="6"/>
  <c r="F29" i="9"/>
  <c r="V142" i="4"/>
  <c r="T95" i="8"/>
  <c r="E19" i="5"/>
  <c r="V100" i="11"/>
  <c r="F35" i="3"/>
  <c r="R51" i="5"/>
  <c r="Q9" i="10"/>
  <c r="R92" i="5"/>
  <c r="D56" i="12"/>
  <c r="F17" i="12"/>
  <c r="R122" i="8"/>
  <c r="R113" i="5"/>
  <c r="B19" i="8"/>
  <c r="Q122" i="4"/>
  <c r="F40" i="4"/>
  <c r="E32" i="12"/>
  <c r="F20" i="7"/>
  <c r="S109" i="3"/>
  <c r="U128" i="9"/>
  <c r="B47" i="6"/>
  <c r="Q107" i="12"/>
  <c r="S63" i="7"/>
  <c r="U148" i="10"/>
  <c r="V139" i="5"/>
  <c r="R134" i="9"/>
  <c r="T53" i="5"/>
  <c r="V15" i="4"/>
  <c r="D31" i="3"/>
  <c r="V144" i="12"/>
  <c r="R132" i="10"/>
  <c r="Q51" i="10"/>
  <c r="R75" i="4"/>
  <c r="R86" i="6"/>
  <c r="E25" i="5"/>
  <c r="E40" i="8"/>
  <c r="V65" i="8"/>
  <c r="U49" i="5"/>
  <c r="D53" i="11"/>
  <c r="E54" i="12"/>
  <c r="Q14" i="6"/>
  <c r="R83" i="7"/>
  <c r="V66" i="4"/>
  <c r="V73" i="9"/>
  <c r="U36" i="5"/>
  <c r="B3" i="11"/>
  <c r="V37" i="12"/>
  <c r="U55" i="4"/>
  <c r="T147" i="4"/>
  <c r="D22" i="8"/>
  <c r="E7" i="9"/>
  <c r="U100" i="3"/>
  <c r="U60" i="5"/>
  <c r="V63" i="4"/>
  <c r="T3" i="11"/>
  <c r="E14" i="3"/>
  <c r="G8" i="9"/>
  <c r="U44" i="4"/>
  <c r="R102" i="7"/>
  <c r="V24" i="3"/>
  <c r="F50" i="8"/>
  <c r="T7" i="8"/>
  <c r="R113" i="7"/>
  <c r="U87" i="5"/>
  <c r="V85" i="4"/>
  <c r="D29" i="3"/>
  <c r="U26" i="6"/>
  <c r="D52" i="5"/>
  <c r="Q23" i="10"/>
  <c r="Q67" i="11"/>
  <c r="R55" i="5"/>
  <c r="G40" i="10"/>
  <c r="S93" i="8"/>
  <c r="D50" i="8"/>
  <c r="Q98" i="5"/>
  <c r="R9" i="10"/>
  <c r="F11" i="5"/>
  <c r="R23" i="8"/>
  <c r="S141" i="8"/>
  <c r="Q137" i="7"/>
  <c r="U128" i="3"/>
  <c r="S84" i="11"/>
  <c r="F34" i="9"/>
  <c r="R71" i="8"/>
  <c r="T32" i="3"/>
  <c r="B58" i="9"/>
  <c r="R140" i="6"/>
  <c r="D47" i="9"/>
  <c r="U13" i="7"/>
  <c r="B51" i="9"/>
  <c r="U48" i="9"/>
  <c r="T82" i="11"/>
  <c r="E3" i="4"/>
  <c r="G42" i="5"/>
  <c r="V147" i="4"/>
  <c r="G45" i="3"/>
  <c r="T5" i="9"/>
  <c r="E45" i="11"/>
  <c r="Q74" i="4"/>
  <c r="S99" i="10"/>
  <c r="T114" i="8"/>
  <c r="S145" i="5"/>
  <c r="R147" i="5"/>
  <c r="S92" i="7"/>
  <c r="V9" i="8"/>
  <c r="S61" i="11"/>
  <c r="G10" i="9"/>
  <c r="U8" i="7"/>
  <c r="Q97" i="6"/>
  <c r="S34" i="11"/>
  <c r="T14" i="6"/>
  <c r="R42" i="5"/>
  <c r="G15" i="9"/>
  <c r="E58" i="7"/>
  <c r="S90" i="6"/>
  <c r="D62" i="6"/>
  <c r="E18" i="7"/>
  <c r="U5" i="11"/>
  <c r="T125" i="6"/>
  <c r="D27" i="10"/>
  <c r="R149" i="4"/>
  <c r="U23" i="9"/>
  <c r="S150" i="7"/>
  <c r="U62" i="6"/>
  <c r="E37" i="4"/>
  <c r="U88" i="5"/>
  <c r="Q135" i="11"/>
  <c r="U39" i="3"/>
  <c r="D11" i="10"/>
  <c r="U87" i="10"/>
  <c r="S13" i="5"/>
  <c r="C42" i="8"/>
  <c r="R20" i="8"/>
  <c r="R131" i="6"/>
  <c r="C32" i="5"/>
  <c r="F23" i="9"/>
  <c r="B15" i="10"/>
  <c r="R124" i="12"/>
  <c r="T87" i="9"/>
  <c r="S45" i="3"/>
  <c r="U150" i="10"/>
  <c r="V60" i="6"/>
  <c r="F27" i="3"/>
  <c r="T146" i="9"/>
  <c r="S8" i="6"/>
  <c r="G34" i="10"/>
  <c r="Q125" i="3"/>
  <c r="D53" i="5"/>
  <c r="E53" i="6"/>
  <c r="C42" i="6"/>
  <c r="R92" i="12"/>
  <c r="Q42" i="6"/>
  <c r="S5" i="4"/>
  <c r="T93" i="6"/>
  <c r="D38" i="3"/>
  <c r="T19" i="8"/>
  <c r="V97" i="8"/>
  <c r="Q89" i="3"/>
  <c r="D57" i="4"/>
  <c r="R92" i="9"/>
  <c r="G48" i="8"/>
  <c r="S112" i="12"/>
  <c r="T22" i="11"/>
  <c r="U40" i="8"/>
  <c r="U88" i="11"/>
  <c r="V48" i="6"/>
  <c r="T19" i="7"/>
  <c r="T42" i="4"/>
  <c r="U113" i="8"/>
  <c r="D38" i="12"/>
  <c r="S52" i="6"/>
  <c r="T130" i="4"/>
  <c r="B40" i="7"/>
  <c r="Q32" i="3"/>
  <c r="D45" i="10"/>
  <c r="E26" i="3"/>
  <c r="C46" i="10"/>
  <c r="E12" i="9"/>
  <c r="T134" i="5"/>
  <c r="T25" i="3"/>
  <c r="R89" i="5"/>
  <c r="T54" i="8"/>
  <c r="S11" i="12"/>
  <c r="V54" i="3"/>
  <c r="T88" i="6"/>
  <c r="S62" i="3"/>
  <c r="U22" i="9"/>
  <c r="E32" i="9"/>
  <c r="R96" i="9"/>
  <c r="F16" i="6"/>
  <c r="T77" i="3"/>
  <c r="S131" i="10"/>
  <c r="U47" i="7"/>
  <c r="G59" i="7"/>
  <c r="C57" i="4"/>
  <c r="S115" i="12"/>
  <c r="E55" i="6"/>
  <c r="S104" i="7"/>
  <c r="T92" i="4"/>
  <c r="U83" i="9"/>
  <c r="D54" i="11"/>
  <c r="S85" i="5"/>
  <c r="V94" i="5"/>
  <c r="Q53" i="6"/>
  <c r="G54" i="8"/>
  <c r="B6" i="12"/>
  <c r="S94" i="3"/>
  <c r="Q96" i="10"/>
  <c r="V14" i="7"/>
  <c r="T131" i="8"/>
  <c r="Q4" i="12"/>
  <c r="D45" i="6"/>
  <c r="S149" i="9"/>
  <c r="R26" i="4"/>
  <c r="R51" i="9"/>
  <c r="U81" i="5"/>
  <c r="G3" i="6"/>
  <c r="U19" i="4"/>
  <c r="S109" i="10"/>
  <c r="E47" i="7"/>
  <c r="T11" i="7"/>
  <c r="Q97" i="4"/>
  <c r="T9" i="12"/>
  <c r="R22" i="4"/>
  <c r="V46" i="7"/>
  <c r="R125" i="9"/>
  <c r="V3" i="7"/>
  <c r="G49" i="5"/>
  <c r="T56" i="9"/>
  <c r="T110" i="11"/>
  <c r="V32" i="10"/>
  <c r="V27" i="12"/>
  <c r="U12" i="4"/>
  <c r="G44" i="7"/>
  <c r="U6" i="9"/>
  <c r="C41" i="4"/>
  <c r="S141" i="12"/>
  <c r="C47" i="12"/>
  <c r="T87" i="3"/>
  <c r="E49" i="6"/>
  <c r="V122" i="8"/>
  <c r="R10" i="8"/>
  <c r="V127" i="12"/>
  <c r="U132" i="8"/>
  <c r="Q27" i="8"/>
  <c r="Q33" i="11"/>
  <c r="V49" i="6"/>
  <c r="T52" i="3"/>
  <c r="T7" i="9"/>
  <c r="S99" i="7"/>
  <c r="V83" i="10"/>
  <c r="F24" i="12"/>
  <c r="R57" i="3"/>
  <c r="R135" i="11"/>
  <c r="U143" i="9"/>
  <c r="U21" i="3"/>
  <c r="V7" i="6"/>
  <c r="B15" i="9"/>
  <c r="V87" i="7"/>
  <c r="R13" i="11"/>
  <c r="T51" i="10"/>
  <c r="F40" i="10"/>
  <c r="E24" i="5"/>
  <c r="V89" i="6"/>
  <c r="T6" i="10"/>
  <c r="Q149" i="3"/>
  <c r="S129" i="8"/>
  <c r="R128" i="10"/>
  <c r="S96" i="6"/>
  <c r="T135" i="11"/>
  <c r="U114" i="9"/>
  <c r="D21" i="11"/>
  <c r="F50" i="7"/>
  <c r="U26" i="11"/>
  <c r="R108" i="9"/>
  <c r="V31" i="10"/>
  <c r="F7" i="4"/>
  <c r="V131" i="10"/>
  <c r="G43" i="9"/>
  <c r="U67" i="3"/>
  <c r="U86" i="8"/>
  <c r="G22" i="4"/>
  <c r="U93" i="11"/>
  <c r="E50" i="5"/>
  <c r="S124" i="9"/>
  <c r="G57" i="6"/>
  <c r="S55" i="8"/>
  <c r="B20" i="10"/>
  <c r="Q41" i="7"/>
  <c r="T12" i="6"/>
  <c r="U54" i="11"/>
  <c r="V115" i="6"/>
  <c r="S57" i="12"/>
  <c r="S95" i="12"/>
  <c r="R17" i="12"/>
  <c r="B48" i="10"/>
  <c r="C55" i="3"/>
  <c r="R85" i="6"/>
  <c r="R70" i="3"/>
  <c r="U85" i="4"/>
  <c r="D6" i="4"/>
  <c r="G15" i="3"/>
  <c r="C39" i="8"/>
  <c r="R110" i="5"/>
  <c r="R90" i="5"/>
  <c r="R69" i="9"/>
  <c r="T4" i="4"/>
  <c r="C49" i="12"/>
  <c r="S37" i="7"/>
  <c r="C59" i="6"/>
  <c r="F22" i="5"/>
  <c r="S22" i="3"/>
  <c r="Q23" i="11"/>
  <c r="G57" i="11"/>
  <c r="G32" i="12"/>
  <c r="F58" i="5"/>
  <c r="E3" i="12"/>
  <c r="Q51" i="7"/>
  <c r="C28" i="3"/>
  <c r="U112" i="9"/>
  <c r="U6" i="5"/>
  <c r="U106" i="8"/>
  <c r="F32" i="6"/>
  <c r="V67" i="11"/>
  <c r="R5" i="6"/>
  <c r="S137" i="5"/>
  <c r="B40" i="5"/>
  <c r="Q140" i="6"/>
  <c r="T135" i="5"/>
  <c r="U14" i="12"/>
  <c r="E28" i="5"/>
  <c r="U104" i="3"/>
  <c r="U26" i="3"/>
  <c r="U50" i="3"/>
  <c r="G22" i="5"/>
  <c r="V53" i="11"/>
  <c r="C20" i="9"/>
  <c r="T139" i="12"/>
  <c r="Q43" i="4"/>
  <c r="S129" i="6"/>
  <c r="V21" i="7"/>
  <c r="U37" i="5"/>
  <c r="Q120" i="10"/>
  <c r="V5" i="8"/>
  <c r="D25" i="10"/>
  <c r="D63" i="3"/>
  <c r="Q130" i="5"/>
  <c r="F31" i="12"/>
  <c r="U47" i="9"/>
  <c r="U30" i="6"/>
  <c r="Q98" i="4"/>
  <c r="T61" i="7"/>
  <c r="Q77" i="12"/>
  <c r="F42" i="6"/>
  <c r="T95" i="12"/>
  <c r="U111" i="4"/>
  <c r="V66" i="5"/>
  <c r="V69" i="12"/>
  <c r="T65" i="4"/>
  <c r="E38" i="8"/>
  <c r="S60" i="4"/>
  <c r="R24" i="12"/>
  <c r="T74" i="6"/>
  <c r="U9" i="4"/>
  <c r="R62" i="12"/>
  <c r="U117" i="10"/>
  <c r="F47" i="12"/>
  <c r="C6" i="9"/>
  <c r="U105" i="6"/>
  <c r="E14" i="5"/>
  <c r="E38" i="4"/>
  <c r="U14" i="9"/>
  <c r="S78" i="12"/>
  <c r="U40" i="7"/>
  <c r="B9" i="8"/>
  <c r="E48" i="5"/>
  <c r="R31" i="10"/>
  <c r="Q15" i="5"/>
  <c r="S80" i="3"/>
  <c r="T5" i="7"/>
  <c r="D32" i="7"/>
  <c r="S87" i="4"/>
  <c r="D43" i="7"/>
  <c r="R10" i="11"/>
  <c r="Q5" i="4"/>
  <c r="V149" i="10"/>
  <c r="R121" i="5"/>
  <c r="F11" i="10"/>
  <c r="D40" i="8"/>
  <c r="D60" i="8"/>
  <c r="T55" i="4"/>
  <c r="D51" i="8"/>
  <c r="S94" i="4"/>
  <c r="V57" i="3"/>
  <c r="R66" i="7"/>
  <c r="C30" i="4"/>
  <c r="U99" i="9"/>
  <c r="Q139" i="3"/>
  <c r="Q21" i="6"/>
  <c r="C26" i="10"/>
  <c r="V96" i="4"/>
  <c r="T73" i="5"/>
  <c r="U87" i="6"/>
  <c r="U94" i="11"/>
  <c r="E26" i="6"/>
  <c r="S139" i="3"/>
  <c r="F4" i="3"/>
  <c r="F63" i="6"/>
  <c r="C61" i="6"/>
  <c r="G51" i="5"/>
  <c r="B34" i="9"/>
  <c r="U81" i="7"/>
  <c r="F36" i="6"/>
  <c r="D58" i="4"/>
  <c r="T126" i="6"/>
  <c r="C13" i="10"/>
  <c r="R90" i="11"/>
  <c r="V9" i="5"/>
  <c r="Q34" i="3"/>
  <c r="T111" i="4"/>
  <c r="U112" i="8"/>
  <c r="E16" i="3"/>
  <c r="B63" i="5"/>
  <c r="Q149" i="8"/>
  <c r="S128" i="3"/>
  <c r="G34" i="6"/>
  <c r="U17" i="8"/>
  <c r="E47" i="8"/>
  <c r="C33" i="12"/>
  <c r="Q108" i="10"/>
  <c r="Q130" i="6"/>
  <c r="F23" i="7"/>
  <c r="T142" i="7"/>
  <c r="B60" i="7"/>
  <c r="C17" i="8"/>
  <c r="Q74" i="8"/>
  <c r="U75" i="3"/>
  <c r="F29" i="6"/>
  <c r="C41" i="11"/>
  <c r="F38" i="3"/>
  <c r="T27" i="8"/>
  <c r="V116" i="11"/>
  <c r="Q38" i="9"/>
  <c r="S44" i="12"/>
  <c r="U105" i="10"/>
  <c r="R82" i="8"/>
  <c r="T55" i="12"/>
  <c r="R55" i="9"/>
  <c r="B13" i="12"/>
  <c r="T109" i="10"/>
  <c r="R8" i="12"/>
  <c r="Q90" i="9"/>
  <c r="C8" i="6"/>
  <c r="E12" i="3"/>
  <c r="C59" i="8"/>
  <c r="U83" i="7"/>
  <c r="R78" i="3"/>
  <c r="B50" i="3"/>
  <c r="R82" i="9"/>
  <c r="Q14" i="7"/>
  <c r="R21" i="7"/>
  <c r="C28" i="8"/>
  <c r="U139" i="10"/>
  <c r="G24" i="11"/>
  <c r="S9" i="9"/>
  <c r="S137" i="3"/>
  <c r="U11" i="5"/>
  <c r="U92" i="9"/>
  <c r="B30" i="10"/>
  <c r="U24" i="3"/>
  <c r="R26" i="11"/>
  <c r="D50" i="7"/>
  <c r="Q15" i="10"/>
  <c r="V104" i="7"/>
  <c r="Q125" i="12"/>
  <c r="U118" i="11"/>
  <c r="R63" i="10"/>
  <c r="D53" i="4"/>
  <c r="Q113" i="7"/>
  <c r="T65" i="10"/>
  <c r="R41" i="6"/>
  <c r="G50" i="11"/>
  <c r="V140" i="9"/>
  <c r="E35" i="5"/>
  <c r="Q140" i="5"/>
  <c r="T24" i="8"/>
  <c r="T108" i="8"/>
  <c r="U125" i="4"/>
  <c r="S42" i="7"/>
  <c r="E43" i="6"/>
  <c r="T85" i="7"/>
  <c r="Q148" i="12"/>
  <c r="C50" i="9"/>
  <c r="C59" i="5"/>
  <c r="U20" i="5"/>
  <c r="T75" i="5"/>
  <c r="D58" i="12"/>
  <c r="V47" i="11"/>
  <c r="V53" i="3"/>
  <c r="C46" i="6"/>
  <c r="B14" i="4"/>
  <c r="Q66" i="5"/>
  <c r="V43" i="10"/>
  <c r="V91" i="6"/>
  <c r="R144" i="4"/>
  <c r="U89" i="8"/>
  <c r="C17" i="4"/>
  <c r="E28" i="10"/>
  <c r="E35" i="8"/>
  <c r="S36" i="11"/>
  <c r="T68" i="5"/>
  <c r="U10" i="10"/>
  <c r="D17" i="8"/>
  <c r="T92" i="11"/>
  <c r="V31" i="6"/>
  <c r="T104" i="3"/>
  <c r="F13" i="9"/>
  <c r="U26" i="5"/>
  <c r="U67" i="8"/>
  <c r="T12" i="10"/>
  <c r="S15" i="3"/>
  <c r="T106" i="10"/>
  <c r="G39" i="12"/>
  <c r="E57" i="12"/>
  <c r="F19" i="12"/>
  <c r="G4" i="10"/>
  <c r="T83" i="12"/>
  <c r="Q59" i="4"/>
  <c r="S12" i="6"/>
  <c r="C3" i="9"/>
  <c r="S48" i="12"/>
  <c r="G34" i="3"/>
  <c r="S108" i="8"/>
  <c r="U146" i="5"/>
  <c r="T112" i="8"/>
  <c r="Q31" i="7"/>
  <c r="Q64" i="6"/>
  <c r="Q148" i="6"/>
  <c r="D17" i="5"/>
  <c r="B8" i="3"/>
  <c r="E22" i="11"/>
  <c r="S104" i="11"/>
  <c r="V95" i="11"/>
  <c r="R94" i="12"/>
  <c r="Q118" i="6"/>
  <c r="V90" i="7"/>
  <c r="U92" i="12"/>
  <c r="F14" i="3"/>
  <c r="C7" i="8"/>
  <c r="R57" i="8"/>
  <c r="R60" i="8"/>
  <c r="B47" i="9"/>
  <c r="F27" i="6"/>
  <c r="U148" i="8"/>
  <c r="V120" i="10"/>
  <c r="C63" i="3"/>
  <c r="E15" i="9"/>
  <c r="U131" i="8"/>
  <c r="R10" i="7"/>
  <c r="C32" i="3"/>
  <c r="R73" i="5"/>
  <c r="T48" i="11"/>
  <c r="B60" i="5"/>
  <c r="Q64" i="9"/>
  <c r="S3" i="4"/>
  <c r="R61" i="5"/>
  <c r="S14" i="9"/>
  <c r="C25" i="6"/>
  <c r="D39" i="7"/>
  <c r="D22" i="3"/>
  <c r="S24" i="3"/>
  <c r="C8" i="12"/>
  <c r="S4" i="6"/>
  <c r="S50" i="10"/>
  <c r="T141" i="6"/>
  <c r="F16" i="4"/>
  <c r="V52" i="5"/>
  <c r="V124" i="6"/>
  <c r="B55" i="5"/>
  <c r="D48" i="12"/>
  <c r="C40" i="4"/>
  <c r="T128" i="8"/>
  <c r="D62" i="5"/>
  <c r="V7" i="9"/>
  <c r="D40" i="10"/>
  <c r="G32" i="10"/>
  <c r="C4" i="9"/>
  <c r="D46" i="7"/>
  <c r="D24" i="3"/>
  <c r="C33" i="9"/>
  <c r="S79" i="10"/>
  <c r="Q138" i="5"/>
  <c r="U24" i="12"/>
  <c r="E53" i="3"/>
  <c r="E21" i="3"/>
  <c r="B4" i="4"/>
  <c r="R19" i="4"/>
  <c r="U49" i="10"/>
  <c r="S97" i="10"/>
  <c r="T36" i="6"/>
  <c r="B48" i="9"/>
  <c r="F55" i="12"/>
  <c r="F60" i="9"/>
  <c r="U17" i="12"/>
  <c r="U51" i="4"/>
  <c r="S126" i="4"/>
  <c r="R117" i="3"/>
  <c r="T69" i="8"/>
  <c r="S46" i="3"/>
  <c r="U113" i="10"/>
  <c r="B20" i="11"/>
  <c r="U97" i="6"/>
  <c r="V70" i="4"/>
  <c r="Q101" i="4"/>
  <c r="D47" i="3"/>
  <c r="Q142" i="7"/>
  <c r="R45" i="6"/>
  <c r="R66" i="10"/>
  <c r="E22" i="5"/>
  <c r="V96" i="3"/>
  <c r="F46" i="10"/>
  <c r="C51" i="3"/>
  <c r="E53" i="12"/>
  <c r="V136" i="4"/>
  <c r="S122" i="12"/>
  <c r="C11" i="4"/>
  <c r="U9" i="5"/>
  <c r="T137" i="11"/>
  <c r="R111" i="11"/>
  <c r="F33" i="8"/>
  <c r="S23" i="5"/>
  <c r="R124" i="10"/>
  <c r="R75" i="9"/>
  <c r="E60" i="5"/>
  <c r="C60" i="5"/>
  <c r="V94" i="10"/>
  <c r="D8" i="8"/>
  <c r="Q149" i="10"/>
  <c r="Q105" i="3"/>
  <c r="V34" i="4"/>
  <c r="T130" i="6"/>
  <c r="Q136" i="6"/>
  <c r="C15" i="6"/>
  <c r="G27" i="9"/>
  <c r="S138" i="7"/>
  <c r="V30" i="6"/>
  <c r="S85" i="4"/>
  <c r="V134" i="8"/>
  <c r="U85" i="6"/>
  <c r="T42" i="10"/>
  <c r="B63" i="3"/>
  <c r="G26" i="3"/>
  <c r="T121" i="5"/>
  <c r="R48" i="6"/>
  <c r="V87" i="5"/>
  <c r="S117" i="3"/>
  <c r="R16" i="7"/>
  <c r="U25" i="6"/>
  <c r="F12" i="11"/>
  <c r="Q15" i="7"/>
  <c r="V50" i="9"/>
  <c r="S53" i="10"/>
  <c r="Q72" i="7"/>
  <c r="R9" i="4"/>
  <c r="V15" i="9"/>
  <c r="B30" i="11"/>
  <c r="R79" i="5"/>
  <c r="Q44" i="7"/>
  <c r="F56" i="7"/>
  <c r="T35" i="4"/>
  <c r="S26" i="12"/>
  <c r="Q135" i="10"/>
  <c r="T56" i="8"/>
  <c r="D10" i="9"/>
  <c r="R89" i="3"/>
  <c r="V143" i="5"/>
  <c r="V110" i="9"/>
  <c r="T102" i="10"/>
  <c r="G62" i="11"/>
  <c r="V38" i="5"/>
  <c r="U39" i="7"/>
  <c r="S19" i="8"/>
  <c r="E12" i="12"/>
  <c r="F62" i="8"/>
  <c r="Q30" i="9"/>
  <c r="T116" i="6"/>
  <c r="F19" i="10"/>
  <c r="B18" i="8"/>
  <c r="T140" i="9"/>
  <c r="T106" i="7"/>
  <c r="T114" i="5"/>
  <c r="T134" i="4"/>
  <c r="B62" i="5"/>
  <c r="R120" i="6"/>
  <c r="D54" i="12"/>
  <c r="T86" i="9"/>
  <c r="E51" i="4"/>
  <c r="D41" i="5"/>
  <c r="V146" i="6"/>
  <c r="D30" i="4"/>
  <c r="G25" i="8"/>
  <c r="V11" i="11"/>
  <c r="R149" i="12"/>
  <c r="E46" i="8"/>
  <c r="S27" i="12"/>
  <c r="F53" i="3"/>
  <c r="S137" i="6"/>
  <c r="T104" i="7"/>
  <c r="S105" i="7"/>
  <c r="R27" i="10"/>
  <c r="U114" i="11"/>
  <c r="S16" i="12"/>
  <c r="R128" i="9"/>
  <c r="D23" i="10"/>
  <c r="V54" i="8"/>
  <c r="G4" i="6"/>
  <c r="E48" i="11"/>
  <c r="V90" i="6"/>
  <c r="D14" i="3"/>
  <c r="U18" i="7"/>
  <c r="T78" i="11"/>
  <c r="Q98" i="8"/>
  <c r="B55" i="3"/>
  <c r="S25" i="3"/>
  <c r="R41" i="11"/>
  <c r="S149" i="3"/>
  <c r="B33" i="12"/>
  <c r="U60" i="7"/>
  <c r="V56" i="4"/>
  <c r="R5" i="12"/>
  <c r="F38" i="11"/>
  <c r="S37" i="5"/>
  <c r="S71" i="12"/>
  <c r="U136" i="8"/>
  <c r="V141" i="10"/>
  <c r="G9" i="9"/>
  <c r="G8" i="8"/>
  <c r="E28" i="8"/>
  <c r="T13" i="3"/>
  <c r="U53" i="10"/>
  <c r="V48" i="8"/>
  <c r="Q3" i="11"/>
  <c r="Q148" i="4"/>
  <c r="R50" i="11"/>
  <c r="V76" i="8"/>
  <c r="S118" i="3"/>
  <c r="S10" i="8"/>
  <c r="Q144" i="3"/>
  <c r="F8" i="10"/>
  <c r="B38" i="5"/>
  <c r="D49" i="5"/>
  <c r="V62" i="8"/>
  <c r="Q59" i="6"/>
  <c r="B47" i="10"/>
  <c r="C27" i="6"/>
  <c r="T108" i="12"/>
  <c r="R134" i="10"/>
  <c r="V106" i="3"/>
  <c r="F47" i="11"/>
  <c r="E9" i="5"/>
  <c r="U121" i="4"/>
  <c r="U136" i="4"/>
  <c r="B11" i="7"/>
  <c r="U79" i="9"/>
  <c r="E47" i="3"/>
  <c r="R35" i="3"/>
  <c r="T62" i="5"/>
  <c r="B36" i="8"/>
  <c r="D42" i="6"/>
  <c r="V116" i="7"/>
  <c r="Q46" i="3"/>
  <c r="E50" i="4"/>
  <c r="T133" i="4"/>
  <c r="V15" i="11"/>
  <c r="C59" i="10"/>
  <c r="V82" i="10"/>
  <c r="V130" i="8"/>
  <c r="V81" i="12"/>
  <c r="V129" i="4"/>
  <c r="F40" i="12"/>
  <c r="D17" i="7"/>
  <c r="Q97" i="7"/>
  <c r="E63" i="9"/>
  <c r="T120" i="4"/>
  <c r="U16" i="5"/>
  <c r="D6" i="10"/>
  <c r="V41" i="10"/>
  <c r="V108" i="9"/>
  <c r="D16" i="6"/>
  <c r="F47" i="9"/>
  <c r="T123" i="6"/>
  <c r="C13" i="5"/>
  <c r="C35" i="7"/>
  <c r="V142" i="9"/>
  <c r="F32" i="4"/>
  <c r="G51" i="11"/>
  <c r="C43" i="12"/>
  <c r="U45" i="4"/>
  <c r="C6" i="8"/>
  <c r="G15" i="5"/>
  <c r="Q105" i="8"/>
  <c r="Q60" i="4"/>
  <c r="G50" i="8"/>
  <c r="F26" i="3"/>
  <c r="C31" i="8"/>
  <c r="D32" i="6"/>
  <c r="B11" i="11"/>
  <c r="S65" i="8"/>
  <c r="T12" i="11"/>
  <c r="S15" i="11"/>
  <c r="F51" i="11"/>
  <c r="Q78" i="6"/>
  <c r="R145" i="6"/>
  <c r="S84" i="3"/>
  <c r="U64" i="11"/>
  <c r="C29" i="12"/>
  <c r="Q23" i="12"/>
  <c r="T45" i="4"/>
  <c r="S14" i="3"/>
  <c r="F28" i="12"/>
  <c r="R114" i="4"/>
  <c r="S150" i="6"/>
  <c r="F62" i="4"/>
  <c r="C12" i="10"/>
  <c r="F51" i="5"/>
  <c r="F26" i="5"/>
  <c r="S42" i="6"/>
  <c r="E45" i="7"/>
  <c r="R63" i="7"/>
  <c r="G41" i="8"/>
  <c r="V11" i="8"/>
  <c r="R19" i="10"/>
  <c r="R92" i="4"/>
  <c r="C60" i="7"/>
  <c r="G8" i="7"/>
  <c r="E30" i="5"/>
  <c r="E31" i="5"/>
  <c r="G17" i="9"/>
  <c r="E59" i="8"/>
  <c r="T4" i="12"/>
  <c r="T43" i="4"/>
  <c r="Q100" i="3"/>
  <c r="B62" i="4"/>
  <c r="F42" i="9"/>
  <c r="D30" i="9"/>
  <c r="S118" i="5"/>
  <c r="G13" i="5"/>
  <c r="D30" i="11"/>
  <c r="T70" i="11"/>
  <c r="V6" i="6"/>
  <c r="S147" i="10"/>
  <c r="F56" i="12"/>
  <c r="F13" i="6"/>
  <c r="G16" i="7"/>
  <c r="F11" i="7"/>
  <c r="V23" i="7"/>
  <c r="B44" i="5"/>
  <c r="R84" i="7"/>
  <c r="F46" i="3"/>
  <c r="V78" i="5"/>
  <c r="V32" i="12"/>
  <c r="U47" i="3"/>
  <c r="V102" i="10"/>
  <c r="E33" i="9"/>
  <c r="R8" i="4"/>
  <c r="Q9" i="4"/>
  <c r="S11" i="9"/>
  <c r="R63" i="3"/>
  <c r="B21" i="12"/>
  <c r="U23" i="11"/>
  <c r="T61" i="6"/>
  <c r="R125" i="7"/>
  <c r="R50" i="6"/>
  <c r="D46" i="3"/>
  <c r="V66" i="7"/>
  <c r="U23" i="3"/>
  <c r="Q74" i="9"/>
  <c r="S85" i="10"/>
  <c r="V5" i="11"/>
  <c r="R23" i="10"/>
  <c r="U36" i="3"/>
  <c r="V48" i="4"/>
  <c r="Q130" i="11"/>
  <c r="Q23" i="6"/>
  <c r="S93" i="4"/>
  <c r="C14" i="11"/>
  <c r="S21" i="11"/>
  <c r="B47" i="3"/>
  <c r="D12" i="10"/>
  <c r="G6" i="7"/>
  <c r="E13" i="8"/>
  <c r="Q110" i="7"/>
  <c r="Q131" i="8"/>
  <c r="Q80" i="6"/>
  <c r="G15" i="11"/>
  <c r="V123" i="11"/>
  <c r="G35" i="3"/>
  <c r="B50" i="7"/>
  <c r="G25" i="12"/>
  <c r="B53" i="6"/>
  <c r="R69" i="4"/>
  <c r="D31" i="5"/>
  <c r="V17" i="12"/>
  <c r="Q63" i="8"/>
  <c r="Q96" i="9"/>
  <c r="V10" i="10"/>
  <c r="F49" i="7"/>
  <c r="R6" i="11"/>
  <c r="R89" i="4"/>
  <c r="C38" i="3"/>
  <c r="R30" i="11"/>
  <c r="Q112" i="6"/>
  <c r="B13" i="3"/>
  <c r="V139" i="8"/>
  <c r="E6" i="11"/>
  <c r="T4" i="3"/>
  <c r="T73" i="7"/>
  <c r="B61" i="5"/>
  <c r="U10" i="5"/>
  <c r="G14" i="12"/>
  <c r="V52" i="11"/>
  <c r="Q96" i="5"/>
  <c r="E17" i="6"/>
  <c r="U130" i="10"/>
  <c r="D55" i="11"/>
  <c r="C62" i="9"/>
  <c r="F21" i="5"/>
  <c r="T30" i="12"/>
  <c r="T85" i="11"/>
  <c r="G26" i="12"/>
  <c r="B36" i="7"/>
  <c r="Q22" i="3"/>
  <c r="S9" i="4"/>
  <c r="T84" i="6"/>
  <c r="Q87" i="4"/>
  <c r="E25" i="6"/>
  <c r="R124" i="8"/>
  <c r="U21" i="9"/>
  <c r="C45" i="9"/>
  <c r="D52" i="6"/>
  <c r="R33" i="4"/>
  <c r="U39" i="6"/>
  <c r="T37" i="8"/>
  <c r="T58" i="5"/>
  <c r="D3" i="7"/>
  <c r="V78" i="12"/>
  <c r="G24" i="3"/>
  <c r="T135" i="3"/>
  <c r="D32" i="5"/>
  <c r="R79" i="9"/>
  <c r="G48" i="7"/>
  <c r="U113" i="9"/>
  <c r="G56" i="6"/>
  <c r="T140" i="4"/>
  <c r="U18" i="12"/>
  <c r="R102" i="4"/>
  <c r="S109" i="7"/>
  <c r="B56" i="3"/>
  <c r="Q84" i="9"/>
  <c r="C7" i="10"/>
  <c r="E38" i="6"/>
  <c r="D28" i="12"/>
  <c r="R70" i="4"/>
  <c r="S133" i="9"/>
  <c r="V17" i="9"/>
  <c r="U4" i="9"/>
  <c r="B31" i="11"/>
  <c r="C25" i="9"/>
  <c r="U37" i="4"/>
  <c r="Q31" i="9"/>
  <c r="Q70" i="7"/>
  <c r="V67" i="3"/>
  <c r="T102" i="3"/>
  <c r="U109" i="9"/>
  <c r="S14" i="10"/>
  <c r="Q100" i="10"/>
  <c r="U120" i="8"/>
  <c r="D54" i="9"/>
  <c r="S61" i="12"/>
  <c r="V55" i="7"/>
  <c r="T57" i="7"/>
  <c r="S32" i="5"/>
  <c r="B60" i="9"/>
  <c r="S100" i="7"/>
  <c r="S136" i="5"/>
  <c r="U145" i="7"/>
  <c r="S133" i="8"/>
  <c r="S101" i="3"/>
  <c r="T69" i="12"/>
  <c r="G3" i="5"/>
  <c r="Q120" i="12"/>
  <c r="V72" i="11"/>
  <c r="U73" i="9"/>
  <c r="S126" i="3"/>
  <c r="V32" i="5"/>
  <c r="D43" i="11"/>
  <c r="T115" i="4"/>
  <c r="V129" i="8"/>
  <c r="V39" i="7"/>
  <c r="G42" i="8"/>
  <c r="T46" i="10"/>
  <c r="S70" i="12"/>
  <c r="R66" i="4"/>
  <c r="Q54" i="6"/>
  <c r="C56" i="8"/>
  <c r="F5" i="11"/>
  <c r="B51" i="8"/>
  <c r="S149" i="8"/>
  <c r="S4" i="8"/>
  <c r="V32" i="7"/>
  <c r="D13" i="9"/>
  <c r="S98" i="9"/>
  <c r="D51" i="11"/>
  <c r="U55" i="12"/>
  <c r="E18" i="4"/>
  <c r="E50" i="3"/>
  <c r="U111" i="5"/>
  <c r="B47" i="4"/>
  <c r="Q98" i="3"/>
  <c r="D61" i="7"/>
  <c r="U27" i="6"/>
  <c r="B36" i="12"/>
  <c r="E26" i="7"/>
  <c r="U9" i="3"/>
  <c r="G49" i="12"/>
  <c r="S55" i="6"/>
  <c r="T149" i="3"/>
  <c r="U140" i="3"/>
  <c r="B24" i="9"/>
  <c r="T144" i="12"/>
  <c r="Q143" i="7"/>
  <c r="V16" i="11"/>
  <c r="V21" i="3"/>
  <c r="R17" i="5"/>
  <c r="Q69" i="8"/>
  <c r="B10" i="11"/>
  <c r="R25" i="10"/>
  <c r="U96" i="4"/>
  <c r="F61" i="4"/>
  <c r="F6" i="9"/>
  <c r="C13" i="12"/>
  <c r="T123" i="5"/>
  <c r="B55" i="11"/>
  <c r="V102" i="3"/>
  <c r="U62" i="12"/>
  <c r="S69" i="6"/>
  <c r="U108" i="3"/>
  <c r="U102" i="12"/>
  <c r="V70" i="9"/>
  <c r="B12" i="7"/>
  <c r="S23" i="3"/>
  <c r="Q27" i="4"/>
  <c r="T126" i="11"/>
  <c r="C24" i="7"/>
  <c r="F63" i="9"/>
  <c r="D13" i="10"/>
  <c r="E49" i="11"/>
  <c r="T24" i="3"/>
  <c r="T3" i="9"/>
  <c r="Q117" i="4"/>
  <c r="E61" i="6"/>
  <c r="U121" i="5"/>
  <c r="G27" i="10"/>
  <c r="Q78" i="5"/>
  <c r="T106" i="9"/>
  <c r="C60" i="8"/>
  <c r="V24" i="10"/>
  <c r="Q129" i="5"/>
  <c r="Q24" i="8"/>
  <c r="S9" i="3"/>
  <c r="G20" i="7"/>
  <c r="G39" i="7"/>
  <c r="R35" i="6"/>
  <c r="T23" i="9"/>
  <c r="V30" i="5"/>
  <c r="R88" i="12"/>
  <c r="B16" i="11"/>
  <c r="R37" i="3"/>
  <c r="S40" i="11"/>
  <c r="E7" i="5"/>
  <c r="G14" i="11"/>
  <c r="U109" i="3"/>
  <c r="U27" i="7"/>
  <c r="Q63" i="4"/>
  <c r="E25" i="7"/>
  <c r="B27" i="8"/>
  <c r="V15" i="5"/>
  <c r="E4" i="9"/>
  <c r="S120" i="9"/>
  <c r="T15" i="9"/>
  <c r="G60" i="4"/>
  <c r="U8" i="6"/>
  <c r="V67" i="6"/>
  <c r="G31" i="8"/>
  <c r="S112" i="6"/>
  <c r="U76" i="9"/>
  <c r="U103" i="7"/>
  <c r="G13" i="11"/>
  <c r="V54" i="6"/>
  <c r="R138" i="10"/>
  <c r="U144" i="10"/>
  <c r="U122" i="10"/>
  <c r="E41" i="11"/>
  <c r="V40" i="8"/>
  <c r="E15" i="12"/>
  <c r="B54" i="11"/>
  <c r="E53" i="10"/>
  <c r="V141" i="9"/>
  <c r="U101" i="9"/>
  <c r="F33" i="4"/>
  <c r="G50" i="10"/>
  <c r="V83" i="3"/>
  <c r="C42" i="7"/>
  <c r="T15" i="4"/>
  <c r="B22" i="11"/>
  <c r="T66" i="8"/>
  <c r="V105" i="9"/>
  <c r="U115" i="6"/>
  <c r="G4" i="5"/>
  <c r="D44" i="10"/>
  <c r="E57" i="11"/>
  <c r="B23" i="11"/>
  <c r="T99" i="11"/>
  <c r="E21" i="8"/>
  <c r="B19" i="12"/>
  <c r="B3" i="7"/>
  <c r="V150" i="11"/>
  <c r="S20" i="8"/>
  <c r="R33" i="3"/>
  <c r="V17" i="6"/>
  <c r="R135" i="12"/>
  <c r="G58" i="7"/>
  <c r="F21" i="7"/>
  <c r="B30" i="4"/>
  <c r="Q133" i="7"/>
  <c r="S89" i="9"/>
  <c r="F22" i="10"/>
  <c r="Q132" i="10"/>
  <c r="V121" i="6"/>
  <c r="S74" i="4"/>
  <c r="Q18" i="3"/>
  <c r="D16" i="7"/>
  <c r="F26" i="9"/>
  <c r="D39" i="4"/>
  <c r="T103" i="10"/>
  <c r="R77" i="7"/>
  <c r="T97" i="10"/>
  <c r="G37" i="9"/>
  <c r="Q9" i="3"/>
  <c r="S4" i="11"/>
  <c r="E3" i="9"/>
  <c r="C48" i="11"/>
  <c r="S105" i="5"/>
  <c r="T38" i="4"/>
  <c r="S110" i="4"/>
  <c r="T109" i="11"/>
  <c r="Q13" i="5"/>
  <c r="D12" i="12"/>
  <c r="V14" i="11"/>
  <c r="S3" i="3"/>
  <c r="D11" i="8"/>
  <c r="U75" i="11"/>
  <c r="S140" i="5"/>
  <c r="U132" i="3"/>
  <c r="R18" i="6"/>
  <c r="R24" i="9"/>
  <c r="D6" i="12"/>
  <c r="D12" i="6"/>
  <c r="R106" i="5"/>
  <c r="D20" i="5"/>
  <c r="E19" i="11"/>
  <c r="B46" i="7"/>
  <c r="S30" i="11"/>
  <c r="T50" i="12"/>
  <c r="E16" i="8"/>
  <c r="E31" i="8"/>
  <c r="B9" i="12"/>
  <c r="C4" i="8"/>
  <c r="F33" i="12"/>
  <c r="B39" i="7"/>
  <c r="G28" i="8"/>
  <c r="E33" i="7"/>
  <c r="G40" i="8"/>
  <c r="U57" i="9"/>
  <c r="E3" i="6"/>
  <c r="C14" i="7"/>
  <c r="V75" i="3"/>
  <c r="S127" i="5"/>
  <c r="U140" i="10"/>
  <c r="U48" i="11"/>
  <c r="T107" i="7"/>
  <c r="C13" i="6"/>
  <c r="Q23" i="3"/>
  <c r="V91" i="10"/>
  <c r="V93" i="5"/>
  <c r="S81" i="4"/>
  <c r="R103" i="7"/>
  <c r="S69" i="3"/>
  <c r="S40" i="3"/>
  <c r="U128" i="5"/>
  <c r="U71" i="9"/>
  <c r="V34" i="12"/>
  <c r="R35" i="4"/>
  <c r="B52" i="3"/>
  <c r="U8" i="4"/>
  <c r="D27" i="8"/>
  <c r="Q53" i="10"/>
  <c r="S75" i="8"/>
  <c r="R27" i="9"/>
  <c r="U27" i="12"/>
  <c r="V33" i="11"/>
  <c r="Q10" i="7"/>
  <c r="C12" i="9"/>
  <c r="D35" i="9"/>
  <c r="U135" i="12"/>
  <c r="S19" i="11"/>
  <c r="Q141" i="10"/>
  <c r="R71" i="7"/>
  <c r="U78" i="8"/>
  <c r="E24" i="4"/>
  <c r="U102" i="10"/>
  <c r="V18" i="12"/>
  <c r="S34" i="10"/>
  <c r="B11" i="8"/>
  <c r="G46" i="10"/>
  <c r="C25" i="5"/>
  <c r="Q60" i="12"/>
  <c r="U46" i="10"/>
  <c r="C46" i="5"/>
  <c r="E37" i="3"/>
  <c r="U35" i="5"/>
  <c r="Q134" i="9"/>
  <c r="D32" i="11"/>
  <c r="V50" i="7"/>
  <c r="G4" i="3"/>
  <c r="C41" i="8"/>
  <c r="E38" i="7"/>
  <c r="Q123" i="6"/>
  <c r="C47" i="3"/>
  <c r="D52" i="4"/>
  <c r="U142" i="4"/>
  <c r="T67" i="6"/>
  <c r="S60" i="9"/>
  <c r="G59" i="11"/>
  <c r="S114" i="6"/>
  <c r="V55" i="9"/>
  <c r="S108" i="9"/>
  <c r="S127" i="7"/>
  <c r="Q63" i="12"/>
  <c r="T8" i="4"/>
  <c r="T56" i="7"/>
  <c r="Q73" i="3"/>
  <c r="C11" i="11"/>
  <c r="C17" i="9"/>
  <c r="T45" i="8"/>
  <c r="V26" i="11"/>
  <c r="F25" i="12"/>
  <c r="B6" i="5"/>
  <c r="S70" i="3"/>
  <c r="T141" i="3"/>
  <c r="U58" i="10"/>
  <c r="S12" i="7"/>
  <c r="B32" i="6"/>
  <c r="F33" i="10"/>
  <c r="B55" i="4"/>
  <c r="V81" i="7"/>
  <c r="R36" i="10"/>
  <c r="D49" i="9"/>
  <c r="T36" i="5"/>
  <c r="Q68" i="10"/>
  <c r="G54" i="9"/>
  <c r="D53" i="3"/>
  <c r="S137" i="12"/>
  <c r="Q110" i="5"/>
  <c r="G59" i="4"/>
  <c r="R22" i="12"/>
  <c r="S6" i="12"/>
  <c r="F27" i="11"/>
  <c r="R97" i="5"/>
  <c r="Q8" i="12"/>
  <c r="C36" i="3"/>
  <c r="E8" i="3"/>
  <c r="V23" i="12"/>
  <c r="T137" i="7"/>
  <c r="S76" i="12"/>
  <c r="F39" i="4"/>
  <c r="Q140" i="3"/>
  <c r="V112" i="4"/>
  <c r="V113" i="9"/>
  <c r="R144" i="12"/>
  <c r="T40" i="6"/>
  <c r="Q93" i="5"/>
  <c r="T17" i="11"/>
  <c r="E38" i="11"/>
  <c r="E49" i="12"/>
  <c r="R21" i="9"/>
  <c r="U3" i="4"/>
  <c r="E15" i="6"/>
  <c r="R107" i="4"/>
  <c r="E10" i="10"/>
  <c r="S57" i="4"/>
  <c r="U92" i="7"/>
  <c r="T113" i="8"/>
  <c r="C29" i="4"/>
  <c r="U133" i="7"/>
  <c r="G10" i="12"/>
  <c r="F44" i="10"/>
  <c r="G3" i="3"/>
  <c r="V74" i="12"/>
  <c r="Q134" i="10"/>
  <c r="Q53" i="8"/>
  <c r="S109" i="5"/>
  <c r="Q47" i="6"/>
  <c r="C58" i="8"/>
  <c r="C37" i="3"/>
  <c r="T60" i="12"/>
  <c r="G58" i="12"/>
  <c r="V68" i="9"/>
  <c r="E44" i="10"/>
  <c r="T59" i="9"/>
  <c r="R37" i="9"/>
  <c r="R122" i="3"/>
  <c r="D7" i="5"/>
  <c r="Q72" i="12"/>
  <c r="Q94" i="6"/>
  <c r="B10" i="9"/>
  <c r="R140" i="3"/>
  <c r="S14" i="5"/>
  <c r="U140" i="6"/>
  <c r="S98" i="6"/>
  <c r="R5" i="10"/>
  <c r="R94" i="5"/>
  <c r="G13" i="12"/>
  <c r="B59" i="11"/>
  <c r="S70" i="8"/>
  <c r="S124" i="5"/>
  <c r="S38" i="8"/>
  <c r="Q7" i="10"/>
  <c r="V50" i="4"/>
  <c r="T7" i="3"/>
  <c r="T145" i="10"/>
  <c r="F42" i="8"/>
  <c r="T20" i="7"/>
  <c r="S15" i="8"/>
  <c r="U136" i="3"/>
  <c r="C30" i="8"/>
  <c r="R119" i="12"/>
  <c r="B25" i="6"/>
  <c r="F32" i="3"/>
  <c r="D33" i="5"/>
  <c r="B41" i="12"/>
  <c r="V149" i="8"/>
  <c r="R52" i="6"/>
  <c r="S140" i="6"/>
  <c r="U45" i="7"/>
  <c r="F29" i="7"/>
  <c r="V116" i="8"/>
  <c r="V9" i="7"/>
  <c r="R126" i="10"/>
  <c r="S60" i="10"/>
  <c r="U87" i="11"/>
  <c r="Q141" i="3"/>
  <c r="U6" i="6"/>
  <c r="R37" i="7"/>
  <c r="U96" i="7"/>
  <c r="T47" i="4"/>
  <c r="B26" i="9"/>
  <c r="R12" i="12"/>
  <c r="V149" i="9"/>
  <c r="G36" i="10"/>
  <c r="T20" i="10"/>
  <c r="E59" i="7"/>
  <c r="B26" i="8"/>
  <c r="V60" i="9"/>
  <c r="F51" i="6"/>
  <c r="G53" i="10"/>
  <c r="E19" i="4"/>
  <c r="D12" i="9"/>
  <c r="F48" i="4"/>
  <c r="G50" i="7"/>
  <c r="U135" i="8"/>
  <c r="R117" i="6"/>
  <c r="S85" i="9"/>
  <c r="R45" i="4"/>
  <c r="T55" i="3"/>
  <c r="S55" i="4"/>
  <c r="T112" i="12"/>
  <c r="Q82" i="4"/>
  <c r="S19" i="12"/>
  <c r="T76" i="5"/>
  <c r="T129" i="6"/>
  <c r="S67" i="6"/>
  <c r="U76" i="7"/>
  <c r="V133" i="11"/>
  <c r="U61" i="11"/>
  <c r="U121" i="12"/>
  <c r="S127" i="6"/>
  <c r="S30" i="7"/>
  <c r="R50" i="7"/>
  <c r="Q124" i="11"/>
  <c r="R96" i="11"/>
  <c r="R116" i="4"/>
  <c r="R13" i="7"/>
  <c r="U123" i="9"/>
  <c r="B40" i="9"/>
  <c r="U36" i="10"/>
  <c r="S3" i="12"/>
  <c r="R13" i="10"/>
  <c r="D21" i="7"/>
  <c r="S120" i="7"/>
  <c r="R12" i="4"/>
  <c r="R21" i="4"/>
  <c r="F49" i="11"/>
  <c r="C37" i="5"/>
  <c r="T107" i="8"/>
  <c r="V144" i="10"/>
  <c r="V19" i="5"/>
  <c r="R61" i="9"/>
  <c r="D62" i="7"/>
  <c r="R64" i="6"/>
  <c r="V88" i="4"/>
  <c r="E46" i="5"/>
  <c r="E13" i="7"/>
  <c r="R17" i="10"/>
  <c r="V4" i="9"/>
  <c r="Q103" i="5"/>
  <c r="F20" i="8"/>
  <c r="B38" i="8"/>
  <c r="U110" i="4"/>
  <c r="U143" i="10"/>
  <c r="E27" i="11"/>
  <c r="C45" i="8"/>
  <c r="G20" i="6"/>
  <c r="G58" i="5"/>
  <c r="Q150" i="12"/>
  <c r="U32" i="6"/>
  <c r="R115" i="4"/>
  <c r="Q100" i="6"/>
  <c r="G41" i="6"/>
  <c r="D31" i="6"/>
  <c r="R115" i="5"/>
  <c r="R90" i="3"/>
  <c r="E3" i="10"/>
  <c r="R143" i="5"/>
  <c r="V68" i="11"/>
  <c r="T150" i="5"/>
  <c r="C49" i="4"/>
  <c r="U82" i="9"/>
  <c r="R31" i="3"/>
  <c r="V15" i="8"/>
  <c r="T59" i="8"/>
  <c r="Q16" i="4"/>
  <c r="G25" i="4"/>
  <c r="D5" i="10"/>
  <c r="U103" i="8"/>
  <c r="F55" i="11"/>
  <c r="R142" i="3"/>
  <c r="T134" i="6"/>
  <c r="E62" i="8"/>
  <c r="D28" i="10"/>
  <c r="U68" i="9"/>
  <c r="S144" i="8"/>
  <c r="S3" i="6"/>
  <c r="T19" i="4"/>
  <c r="U109" i="10"/>
  <c r="B40" i="10"/>
  <c r="R34" i="8"/>
  <c r="D27" i="4"/>
  <c r="S9" i="7"/>
  <c r="U142" i="3"/>
  <c r="Q77" i="7"/>
  <c r="G55" i="8"/>
  <c r="F20" i="6"/>
  <c r="B52" i="4"/>
  <c r="S17" i="12"/>
  <c r="T117" i="7"/>
  <c r="T144" i="4"/>
  <c r="C40" i="9"/>
  <c r="G11" i="5"/>
  <c r="T15" i="11"/>
  <c r="Q57" i="9"/>
  <c r="C41" i="5"/>
  <c r="V98" i="3"/>
  <c r="U19" i="7"/>
  <c r="E49" i="9"/>
  <c r="Q38" i="12"/>
  <c r="F8" i="4"/>
  <c r="E4" i="6"/>
  <c r="R116" i="6"/>
  <c r="T22" i="3"/>
  <c r="G19" i="7"/>
  <c r="E32" i="11"/>
  <c r="B28" i="4"/>
  <c r="F3" i="7"/>
  <c r="B33" i="10"/>
  <c r="R74" i="8"/>
  <c r="T23" i="11"/>
  <c r="S57" i="7"/>
  <c r="G35" i="9"/>
  <c r="Q111" i="8"/>
  <c r="S22" i="5"/>
  <c r="T9" i="4"/>
  <c r="V67" i="4"/>
  <c r="U61" i="6"/>
  <c r="E24" i="9"/>
  <c r="U33" i="3"/>
  <c r="U25" i="5"/>
  <c r="R43" i="10"/>
  <c r="R75" i="11"/>
  <c r="S9" i="8"/>
  <c r="G21" i="12"/>
  <c r="F54" i="9"/>
  <c r="U13" i="8"/>
  <c r="S140" i="9"/>
  <c r="E45" i="12"/>
  <c r="U126" i="4"/>
  <c r="S77" i="3"/>
  <c r="Q147" i="4"/>
  <c r="U133" i="11"/>
  <c r="V10" i="3"/>
  <c r="E21" i="7"/>
  <c r="D31" i="9"/>
  <c r="E15" i="8"/>
  <c r="B53" i="7"/>
  <c r="Q142" i="10"/>
  <c r="Q9" i="12"/>
  <c r="S27" i="3"/>
  <c r="D46" i="8"/>
  <c r="Q82" i="10"/>
  <c r="F29" i="11"/>
  <c r="V134" i="7"/>
  <c r="B5" i="4"/>
  <c r="T23" i="7"/>
  <c r="E42" i="9"/>
  <c r="F22" i="8"/>
  <c r="F34" i="3"/>
  <c r="U95" i="6"/>
  <c r="R72" i="8"/>
  <c r="U12" i="10"/>
  <c r="R101" i="12"/>
  <c r="R80" i="12"/>
  <c r="T43" i="11"/>
  <c r="T81" i="9"/>
  <c r="R86" i="3"/>
  <c r="Q100" i="12"/>
  <c r="B62" i="12"/>
  <c r="U139" i="6"/>
  <c r="Q75" i="11"/>
  <c r="Q38" i="11"/>
  <c r="R43" i="4"/>
  <c r="Q128" i="8"/>
  <c r="C38" i="10"/>
  <c r="G63" i="11"/>
  <c r="S53" i="3"/>
  <c r="S121" i="11"/>
  <c r="S95" i="4"/>
  <c r="T8" i="8"/>
  <c r="C5" i="5"/>
  <c r="Q90" i="10"/>
  <c r="U130" i="8"/>
  <c r="G49" i="8"/>
  <c r="T70" i="7"/>
  <c r="B56" i="6"/>
  <c r="R111" i="4"/>
  <c r="Q119" i="12"/>
  <c r="V23" i="10"/>
  <c r="U104" i="6"/>
  <c r="B22" i="7"/>
  <c r="R37" i="12"/>
  <c r="B34" i="7"/>
  <c r="V60" i="11"/>
  <c r="Q116" i="11"/>
  <c r="D60" i="9"/>
  <c r="F30" i="10"/>
  <c r="S8" i="9"/>
  <c r="U141" i="7"/>
  <c r="T4" i="5"/>
  <c r="Q64" i="5"/>
  <c r="C56" i="12"/>
  <c r="U18" i="8"/>
  <c r="V86" i="4"/>
  <c r="S62" i="8"/>
  <c r="R106" i="10"/>
  <c r="F44" i="6"/>
  <c r="V115" i="10"/>
  <c r="U115" i="10"/>
  <c r="T77" i="7"/>
  <c r="Q45" i="4"/>
  <c r="B13" i="5"/>
  <c r="S31" i="7"/>
  <c r="B5" i="3"/>
  <c r="T129" i="9"/>
  <c r="V123" i="3"/>
  <c r="G63" i="6"/>
  <c r="D33" i="9"/>
  <c r="R45" i="12"/>
  <c r="V60" i="4"/>
  <c r="S84" i="9"/>
  <c r="E43" i="11"/>
  <c r="T10" i="5"/>
  <c r="S73" i="10"/>
  <c r="V11" i="7"/>
  <c r="R148" i="7"/>
  <c r="E33" i="8"/>
  <c r="D38" i="9"/>
  <c r="T117" i="12"/>
  <c r="Q89" i="6"/>
  <c r="E22" i="9"/>
  <c r="B32" i="10"/>
  <c r="T76" i="3"/>
  <c r="S12" i="3"/>
  <c r="Q127" i="3"/>
  <c r="U17" i="9"/>
  <c r="D33" i="12"/>
  <c r="S96" i="7"/>
  <c r="B55" i="9"/>
  <c r="V86" i="7"/>
  <c r="Q145" i="6"/>
  <c r="Q66" i="4"/>
  <c r="C49" i="10"/>
  <c r="V54" i="11"/>
  <c r="U83" i="11"/>
  <c r="T138" i="6"/>
  <c r="C25" i="12"/>
  <c r="S106" i="4"/>
  <c r="B31" i="8"/>
  <c r="G8" i="6"/>
  <c r="T14" i="5"/>
  <c r="Q18" i="6"/>
  <c r="R94" i="7"/>
  <c r="B4" i="8"/>
  <c r="S107" i="10"/>
  <c r="R150" i="8"/>
  <c r="T124" i="8"/>
  <c r="F9" i="4"/>
  <c r="U127" i="12"/>
  <c r="E4" i="12"/>
  <c r="G12" i="11"/>
  <c r="D17" i="3"/>
  <c r="G53" i="9"/>
  <c r="U137" i="3"/>
  <c r="Q103" i="8"/>
  <c r="R9" i="9"/>
  <c r="D16" i="11"/>
  <c r="U76" i="6"/>
  <c r="D37" i="9"/>
  <c r="B20" i="7"/>
  <c r="S73" i="5"/>
  <c r="C36" i="6"/>
  <c r="V41" i="4"/>
  <c r="T120" i="9"/>
  <c r="F3" i="5"/>
  <c r="D22" i="9"/>
  <c r="R149" i="11"/>
  <c r="R146" i="10"/>
  <c r="B12" i="9"/>
  <c r="F59" i="3"/>
  <c r="R98" i="10"/>
  <c r="V34" i="11"/>
  <c r="U72" i="6"/>
  <c r="S57" i="3"/>
  <c r="T52" i="12"/>
  <c r="G41" i="10"/>
  <c r="D51" i="7"/>
  <c r="R87" i="3"/>
  <c r="S52" i="3"/>
  <c r="T127" i="4"/>
  <c r="R69" i="11"/>
  <c r="V74" i="10"/>
  <c r="S51" i="5"/>
  <c r="R59" i="9"/>
  <c r="S83" i="3"/>
  <c r="R147" i="7"/>
  <c r="Q31" i="4"/>
  <c r="G57" i="7"/>
  <c r="V95" i="12"/>
  <c r="S115" i="8"/>
  <c r="C33" i="8"/>
  <c r="R123" i="9"/>
  <c r="R42" i="7"/>
  <c r="T119" i="10"/>
  <c r="E46" i="3"/>
  <c r="Q59" i="3"/>
  <c r="S65" i="6"/>
  <c r="S45" i="9"/>
  <c r="T43" i="5"/>
  <c r="V148" i="5"/>
  <c r="T77" i="12"/>
  <c r="G45" i="4"/>
  <c r="Q16" i="10"/>
  <c r="T48" i="3"/>
  <c r="E7" i="11"/>
  <c r="B10" i="3"/>
  <c r="Q65" i="10"/>
  <c r="G46" i="12"/>
  <c r="D18" i="10"/>
  <c r="D46" i="9"/>
  <c r="V80" i="5"/>
  <c r="S119" i="6"/>
  <c r="U147" i="11"/>
  <c r="S34" i="4"/>
  <c r="V129" i="5"/>
  <c r="U90" i="8"/>
  <c r="R118" i="12"/>
  <c r="R75" i="6"/>
  <c r="S4" i="12"/>
  <c r="Q128" i="3"/>
  <c r="G29" i="12"/>
  <c r="V63" i="6"/>
  <c r="U21" i="4"/>
  <c r="U134" i="4"/>
  <c r="U119" i="5"/>
  <c r="Q16" i="11"/>
  <c r="C16" i="10"/>
  <c r="E28" i="11"/>
  <c r="R120" i="11"/>
  <c r="V115" i="4"/>
  <c r="Q84" i="3"/>
  <c r="G26" i="11"/>
  <c r="S147" i="12"/>
  <c r="D41" i="3"/>
  <c r="V10" i="7"/>
  <c r="C19" i="5"/>
  <c r="V81" i="10"/>
  <c r="C53" i="7"/>
  <c r="D40" i="12"/>
  <c r="Q26" i="5"/>
  <c r="V58" i="8"/>
  <c r="T59" i="7"/>
  <c r="T24" i="5"/>
  <c r="D52" i="11"/>
  <c r="B4" i="3"/>
  <c r="Q9" i="9"/>
  <c r="E5" i="4"/>
  <c r="G9" i="7"/>
  <c r="G29" i="3"/>
  <c r="F30" i="4"/>
  <c r="G36" i="3"/>
  <c r="E50" i="12"/>
  <c r="U103" i="6"/>
  <c r="V110" i="5"/>
  <c r="Z54" i="12" l="1"/>
  <c r="Z9" i="4"/>
  <c r="Y8" i="3"/>
  <c r="AF36" i="7"/>
  <c r="AE61" i="3"/>
  <c r="Z32" i="11"/>
  <c r="AE113" i="3"/>
  <c r="AE42" i="10"/>
  <c r="Y14" i="3"/>
  <c r="Z11" i="11"/>
  <c r="AF25" i="3"/>
  <c r="AF54" i="12"/>
  <c r="AF20" i="5"/>
  <c r="AE36" i="3"/>
  <c r="Z50" i="3"/>
  <c r="AF104" i="10"/>
  <c r="AE8" i="4"/>
  <c r="AF112" i="4"/>
  <c r="AF29" i="12"/>
  <c r="Y16" i="9"/>
  <c r="AF105" i="9"/>
  <c r="Y24" i="7"/>
  <c r="AE80" i="8"/>
  <c r="Z8" i="12"/>
  <c r="AF109" i="8"/>
  <c r="Y8" i="8"/>
  <c r="Y35" i="8"/>
  <c r="AF123" i="6"/>
  <c r="AE43" i="4"/>
  <c r="AE130" i="6"/>
  <c r="Y59" i="9"/>
  <c r="AE112" i="3"/>
  <c r="AF53" i="3"/>
  <c r="Y36" i="10"/>
  <c r="Z26" i="9"/>
  <c r="AE66" i="6"/>
  <c r="AF102" i="12"/>
  <c r="Z37" i="8"/>
  <c r="Z47" i="11"/>
  <c r="AF114" i="9"/>
  <c r="Y9" i="3"/>
  <c r="Y17" i="5"/>
  <c r="AE22" i="4"/>
  <c r="AF54" i="7"/>
  <c r="AE41" i="5"/>
  <c r="AE101" i="11"/>
  <c r="Y38" i="7"/>
  <c r="Y26" i="7"/>
  <c r="AE104" i="12"/>
  <c r="Y60" i="6"/>
  <c r="AF47" i="7"/>
  <c r="AE67" i="10"/>
  <c r="AE113" i="8"/>
  <c r="AE15" i="11"/>
  <c r="AE52" i="11"/>
  <c r="Y66" i="12"/>
  <c r="AE77" i="12"/>
  <c r="AF58" i="9"/>
  <c r="AF20" i="11"/>
  <c r="Z46" i="9"/>
  <c r="Y9" i="4"/>
  <c r="AE59" i="10"/>
  <c r="AE127" i="10"/>
  <c r="Y57" i="7"/>
  <c r="Z19" i="8"/>
  <c r="Z25" i="7"/>
  <c r="AE132" i="4"/>
  <c r="Z49" i="12"/>
  <c r="Z28" i="9"/>
  <c r="AE88" i="8"/>
  <c r="Y37" i="10"/>
  <c r="Y32" i="4"/>
  <c r="Z36" i="11"/>
  <c r="Z8" i="6"/>
  <c r="AE15" i="12"/>
  <c r="Z53" i="9"/>
  <c r="AE34" i="9"/>
  <c r="AF129" i="4"/>
  <c r="AF102" i="7"/>
  <c r="Y56" i="4"/>
  <c r="AE54" i="7"/>
  <c r="Y44" i="10"/>
  <c r="Z66" i="8"/>
  <c r="AF119" i="6"/>
  <c r="AF36" i="8"/>
  <c r="AF135" i="5"/>
  <c r="Z7" i="10"/>
  <c r="AE77" i="6"/>
  <c r="AE135" i="12"/>
  <c r="Z31" i="11"/>
  <c r="Y42" i="8"/>
  <c r="AE80" i="5"/>
  <c r="Z17" i="7"/>
  <c r="Z50" i="5"/>
  <c r="AF84" i="8"/>
  <c r="Y44" i="9"/>
  <c r="AE109" i="11"/>
  <c r="AF114" i="6"/>
  <c r="AF53" i="5"/>
  <c r="AE59" i="4"/>
  <c r="AF89" i="12"/>
  <c r="AF32" i="3"/>
  <c r="Z23" i="4"/>
  <c r="Y30" i="8"/>
  <c r="Z63" i="7"/>
  <c r="Y30" i="9"/>
  <c r="AF24" i="4"/>
  <c r="AE126" i="3"/>
  <c r="Y45" i="12"/>
  <c r="Y29" i="6"/>
  <c r="AF130" i="10"/>
  <c r="Y63" i="11"/>
  <c r="Y14" i="9"/>
  <c r="AE71" i="6"/>
  <c r="AE49" i="12"/>
  <c r="AF36" i="9"/>
  <c r="Z48" i="10"/>
  <c r="AF37" i="12"/>
  <c r="AE24" i="6"/>
  <c r="AE30" i="8"/>
  <c r="AE119" i="10"/>
  <c r="AF90" i="8"/>
  <c r="Z14" i="10"/>
  <c r="Z19" i="6"/>
  <c r="Z53" i="12"/>
  <c r="Z42" i="11"/>
  <c r="AE70" i="5"/>
  <c r="AF17" i="6"/>
  <c r="AE125" i="3"/>
  <c r="AF122" i="7"/>
  <c r="Z12" i="3"/>
  <c r="AE87" i="5"/>
  <c r="AE45" i="10"/>
  <c r="AF13" i="5"/>
  <c r="Y59" i="4"/>
  <c r="Y36" i="6"/>
  <c r="AF126" i="3"/>
  <c r="Y10" i="5"/>
  <c r="AF22" i="8"/>
  <c r="AE50" i="3"/>
  <c r="AF33" i="7"/>
  <c r="AE40" i="12"/>
  <c r="AF44" i="6"/>
  <c r="AE108" i="6"/>
  <c r="Z42" i="7"/>
  <c r="AE119" i="9"/>
  <c r="Z41" i="3"/>
  <c r="AE37" i="12"/>
  <c r="Y15" i="8"/>
  <c r="Z28" i="4"/>
  <c r="AE126" i="10"/>
  <c r="AE30" i="10"/>
  <c r="Y56" i="3"/>
  <c r="AF84" i="7"/>
  <c r="Z7" i="6"/>
  <c r="Z37" i="7"/>
  <c r="Y43" i="7"/>
  <c r="Y13" i="12"/>
  <c r="Z35" i="8"/>
  <c r="Z20" i="8"/>
  <c r="AF27" i="12"/>
  <c r="Y50" i="7"/>
  <c r="Z23" i="11"/>
  <c r="AF86" i="11"/>
  <c r="AF15" i="4"/>
  <c r="Z7" i="9"/>
  <c r="AF74" i="10"/>
  <c r="AF80" i="10"/>
  <c r="AE117" i="10"/>
  <c r="AE118" i="7"/>
  <c r="Y34" i="4"/>
  <c r="Y7" i="7"/>
  <c r="Y23" i="12"/>
  <c r="Z25" i="8"/>
  <c r="AF76" i="11"/>
  <c r="Y27" i="11"/>
  <c r="Z61" i="11"/>
  <c r="AF43" i="8"/>
  <c r="Y26" i="11"/>
  <c r="Z57" i="10"/>
  <c r="Y58" i="11"/>
  <c r="Z19" i="12"/>
  <c r="Z45" i="11"/>
  <c r="Z8" i="9"/>
  <c r="Y31" i="8"/>
  <c r="Z29" i="7"/>
  <c r="AE40" i="4"/>
  <c r="Z11" i="5"/>
  <c r="Y20" i="11"/>
  <c r="AE114" i="5"/>
  <c r="AF83" i="9"/>
  <c r="AE55" i="5"/>
  <c r="Z65" i="6"/>
  <c r="AE102" i="4"/>
  <c r="Z53" i="11"/>
  <c r="AF111" i="11"/>
  <c r="Y16" i="7"/>
  <c r="Y59" i="11"/>
  <c r="AF108" i="5"/>
  <c r="Y14" i="11"/>
  <c r="AE46" i="8"/>
  <c r="AE128" i="7"/>
  <c r="AF129" i="12"/>
  <c r="Y28" i="9"/>
  <c r="AF134" i="3"/>
  <c r="Z30" i="7"/>
  <c r="Y40" i="12"/>
  <c r="AE75" i="3"/>
  <c r="Y51" i="4"/>
  <c r="Z54" i="3"/>
  <c r="Z22" i="4"/>
  <c r="Y55" i="8"/>
  <c r="AE31" i="6"/>
  <c r="AF23" i="10"/>
  <c r="AF92" i="4"/>
  <c r="AF100" i="4"/>
  <c r="AE105" i="12"/>
  <c r="AF46" i="12"/>
  <c r="Y64" i="9"/>
  <c r="AF34" i="7"/>
  <c r="AE77" i="10"/>
  <c r="AF79" i="3"/>
  <c r="AE47" i="7"/>
  <c r="AE8" i="9"/>
  <c r="Y35" i="11"/>
  <c r="Z42" i="6"/>
  <c r="AE61" i="9"/>
  <c r="Y60" i="3"/>
  <c r="AF125" i="4"/>
  <c r="AF120" i="3"/>
  <c r="AF35" i="5"/>
  <c r="AF14" i="8"/>
  <c r="Z29" i="6"/>
  <c r="AE64" i="4"/>
  <c r="AF61" i="6"/>
  <c r="Y40" i="7"/>
  <c r="AF62" i="11"/>
  <c r="AF7" i="12"/>
  <c r="Z21" i="6"/>
  <c r="AE73" i="5"/>
  <c r="Y65" i="5"/>
  <c r="AF50" i="7"/>
  <c r="Z10" i="11"/>
  <c r="Y17" i="3"/>
  <c r="AE89" i="6"/>
  <c r="AE73" i="9"/>
  <c r="AE40" i="8"/>
  <c r="Y57" i="6"/>
  <c r="Y54" i="7"/>
  <c r="AE57" i="6"/>
  <c r="AE116" i="8"/>
  <c r="AE87" i="7"/>
  <c r="Z17" i="8"/>
  <c r="Y51" i="3"/>
  <c r="AE115" i="11"/>
  <c r="AE51" i="9"/>
  <c r="AF38" i="6"/>
  <c r="Y25" i="12"/>
  <c r="Z37" i="9"/>
  <c r="Y48" i="5"/>
  <c r="AF47" i="11"/>
  <c r="Y66" i="4"/>
  <c r="AE77" i="3"/>
  <c r="AF20" i="4"/>
  <c r="Z63" i="8"/>
  <c r="Z35" i="5"/>
  <c r="Z34" i="5"/>
  <c r="Z49" i="7"/>
  <c r="AF22" i="4"/>
  <c r="AE55" i="6"/>
  <c r="Y15" i="11"/>
  <c r="AE37" i="4"/>
  <c r="AE82" i="8"/>
  <c r="AF108" i="6"/>
  <c r="AF105" i="4"/>
  <c r="Z67" i="9"/>
  <c r="AE74" i="7"/>
  <c r="AF118" i="4"/>
  <c r="Z54" i="4"/>
  <c r="AE23" i="3"/>
  <c r="Y40" i="8"/>
  <c r="AF39" i="5"/>
  <c r="Z51" i="3"/>
  <c r="Y15" i="7"/>
  <c r="Z13" i="5"/>
  <c r="AF85" i="12"/>
  <c r="Y51" i="10"/>
  <c r="AE36" i="6"/>
  <c r="Y42" i="5"/>
  <c r="AE129" i="3"/>
  <c r="AE133" i="4"/>
  <c r="Z32" i="8"/>
  <c r="Y37" i="12"/>
  <c r="Y59" i="3"/>
  <c r="AE75" i="8"/>
  <c r="AF55" i="11"/>
  <c r="Z52" i="11"/>
  <c r="AF81" i="7"/>
  <c r="Z50" i="8"/>
  <c r="Z55" i="4"/>
  <c r="AF63" i="9"/>
  <c r="Y66" i="5"/>
  <c r="AF119" i="4"/>
  <c r="AF91" i="5"/>
  <c r="AF83" i="7"/>
  <c r="AF125" i="9"/>
  <c r="Y22" i="8"/>
  <c r="AF101" i="6"/>
  <c r="AE7" i="9"/>
  <c r="Z16" i="12"/>
  <c r="AF79" i="10"/>
  <c r="AF33" i="8"/>
  <c r="AE120" i="10"/>
  <c r="AF12" i="4"/>
  <c r="AE21" i="7"/>
  <c r="Y34" i="11"/>
  <c r="AE49" i="7"/>
  <c r="AF106" i="5"/>
  <c r="Y67" i="3"/>
  <c r="AF19" i="10"/>
  <c r="AE121" i="6"/>
  <c r="AF115" i="6"/>
  <c r="AE82" i="3"/>
  <c r="AE134" i="10"/>
  <c r="Z64" i="5"/>
  <c r="AF122" i="11"/>
  <c r="Z57" i="12"/>
  <c r="Z26" i="5"/>
  <c r="AE127" i="7"/>
  <c r="AE78" i="4"/>
  <c r="Y24" i="11"/>
  <c r="AF46" i="8"/>
  <c r="Y52" i="9"/>
  <c r="AF13" i="6"/>
  <c r="Y8" i="4"/>
  <c r="Z25" i="3"/>
  <c r="Z57" i="3"/>
  <c r="AE123" i="5"/>
  <c r="AF113" i="8"/>
  <c r="Y59" i="5"/>
  <c r="AF126" i="6"/>
  <c r="AE41" i="9"/>
  <c r="Y64" i="5"/>
  <c r="AF25" i="11"/>
  <c r="Z19" i="9"/>
  <c r="Y51" i="9"/>
  <c r="AE103" i="6"/>
  <c r="Z26" i="11"/>
  <c r="Y12" i="3"/>
  <c r="AE133" i="6"/>
  <c r="AE41" i="6"/>
  <c r="AE8" i="7"/>
  <c r="AF89" i="8"/>
  <c r="AE36" i="4"/>
  <c r="AF60" i="12"/>
  <c r="Z61" i="12"/>
  <c r="AF83" i="10"/>
  <c r="AF81" i="3"/>
  <c r="AF69" i="11"/>
  <c r="AF45" i="5"/>
  <c r="Z39" i="8"/>
  <c r="Z32" i="10"/>
  <c r="AE43" i="5"/>
  <c r="Y18" i="4"/>
  <c r="AF52" i="5"/>
  <c r="AE133" i="12"/>
  <c r="AF62" i="7"/>
  <c r="Z47" i="6"/>
  <c r="AF85" i="8"/>
  <c r="AE125" i="5"/>
  <c r="Z39" i="5"/>
  <c r="AF42" i="10"/>
  <c r="AE90" i="7"/>
  <c r="AE110" i="12"/>
  <c r="Y34" i="10"/>
  <c r="Y54" i="3"/>
  <c r="Z16" i="3"/>
  <c r="AE67" i="9"/>
  <c r="AF86" i="10"/>
  <c r="Y17" i="12"/>
  <c r="AF32" i="12"/>
  <c r="AE15" i="9"/>
  <c r="AE51" i="8"/>
  <c r="Y64" i="7"/>
  <c r="AF127" i="7"/>
  <c r="AE115" i="6"/>
  <c r="AE85" i="10"/>
  <c r="Z51" i="8"/>
  <c r="AE134" i="8"/>
  <c r="Y67" i="5"/>
  <c r="Z20" i="3"/>
  <c r="AF88" i="4"/>
  <c r="AE11" i="3"/>
  <c r="AF111" i="6"/>
  <c r="Y38" i="9"/>
  <c r="Z30" i="6"/>
  <c r="AF50" i="5"/>
  <c r="AE124" i="3"/>
  <c r="AF32" i="4"/>
  <c r="Z52" i="5"/>
  <c r="Y13" i="8"/>
  <c r="Z42" i="4"/>
  <c r="Z18" i="5"/>
  <c r="AF51" i="6"/>
  <c r="Z42" i="8"/>
  <c r="AF42" i="4"/>
  <c r="AF72" i="12"/>
  <c r="AE54" i="12"/>
  <c r="AF38" i="7"/>
  <c r="AE75" i="4"/>
  <c r="AE115" i="5"/>
  <c r="AE105" i="10"/>
  <c r="AE20" i="4"/>
  <c r="AF124" i="12"/>
  <c r="Z32" i="5"/>
  <c r="AF120" i="5"/>
  <c r="AE125" i="6"/>
  <c r="Y44" i="5"/>
  <c r="AE28" i="7"/>
  <c r="Z7" i="12"/>
  <c r="Y52" i="10"/>
  <c r="AE18" i="7"/>
  <c r="Y24" i="10"/>
  <c r="Z54" i="5"/>
  <c r="AF120" i="11"/>
  <c r="AE134" i="3"/>
  <c r="Z28" i="5"/>
  <c r="AF28" i="10"/>
  <c r="Y19" i="9"/>
  <c r="AF29" i="3"/>
  <c r="AE10" i="11"/>
  <c r="Z53" i="6"/>
  <c r="AF64" i="3"/>
  <c r="AF87" i="11"/>
  <c r="AF33" i="9"/>
  <c r="AE74" i="4"/>
  <c r="Z51" i="7"/>
  <c r="AF116" i="8"/>
  <c r="AE73" i="10"/>
  <c r="Y10" i="12"/>
  <c r="AE30" i="6"/>
  <c r="AF69" i="4"/>
  <c r="Z59" i="6"/>
  <c r="AF54" i="3"/>
  <c r="Z36" i="9"/>
  <c r="AF65" i="6"/>
  <c r="AF31" i="8"/>
  <c r="AF119" i="5"/>
  <c r="Z16" i="9"/>
  <c r="Z30" i="3"/>
  <c r="AE9" i="3"/>
  <c r="Y44" i="7"/>
  <c r="AF115" i="4"/>
  <c r="AF19" i="4"/>
  <c r="AE66" i="3"/>
  <c r="AF70" i="6"/>
  <c r="AE19" i="6"/>
  <c r="Z57" i="6"/>
  <c r="AE110" i="3"/>
  <c r="AF131" i="9"/>
  <c r="AF64" i="9"/>
  <c r="Y19" i="10"/>
  <c r="AE120" i="11"/>
  <c r="Z41" i="4"/>
  <c r="AF110" i="6"/>
  <c r="Z22" i="7"/>
  <c r="Z62" i="7"/>
  <c r="AE74" i="6"/>
  <c r="AF91" i="8"/>
  <c r="AE51" i="4"/>
  <c r="Z49" i="11"/>
  <c r="Z7" i="4"/>
  <c r="AF59" i="11"/>
  <c r="Y55" i="9"/>
  <c r="Y62" i="9"/>
  <c r="AF9" i="3"/>
  <c r="AE122" i="7"/>
  <c r="AE75" i="5"/>
  <c r="AE44" i="11"/>
  <c r="Z18" i="3"/>
  <c r="Z11" i="9"/>
  <c r="AF132" i="4"/>
  <c r="Y7" i="11"/>
  <c r="Z58" i="12"/>
  <c r="Z44" i="8"/>
  <c r="Z29" i="5"/>
  <c r="AE28" i="10"/>
  <c r="AF30" i="5"/>
  <c r="AE84" i="12"/>
  <c r="Y51" i="6"/>
  <c r="Z36" i="12"/>
  <c r="AE107" i="4"/>
  <c r="Y23" i="8"/>
  <c r="Z23" i="5"/>
  <c r="AF72" i="8"/>
  <c r="AF26" i="4"/>
  <c r="Y34" i="7"/>
  <c r="AE67" i="12"/>
  <c r="Y50" i="5"/>
  <c r="Y67" i="4"/>
  <c r="AF87" i="9"/>
  <c r="Y15" i="10"/>
  <c r="Y11" i="3"/>
  <c r="Y15" i="12"/>
  <c r="Z9" i="12"/>
  <c r="AF38" i="12"/>
  <c r="Z46" i="11"/>
  <c r="AF107" i="4"/>
  <c r="AF46" i="9"/>
  <c r="Y51" i="12"/>
  <c r="Z13" i="8"/>
  <c r="AE64" i="6"/>
  <c r="AE11" i="4"/>
  <c r="AF78" i="12"/>
  <c r="Z50" i="10"/>
  <c r="Z45" i="4"/>
  <c r="Z44" i="4"/>
  <c r="Z45" i="3"/>
  <c r="AE114" i="4"/>
  <c r="AF87" i="12"/>
  <c r="Y13" i="5"/>
  <c r="Z36" i="10"/>
  <c r="Y36" i="4"/>
  <c r="AE76" i="10"/>
  <c r="Z41" i="8"/>
  <c r="AE113" i="10"/>
  <c r="AF89" i="7"/>
  <c r="AF77" i="8"/>
  <c r="AF26" i="5"/>
  <c r="Z63" i="6"/>
  <c r="Y30" i="3"/>
  <c r="AE112" i="4"/>
  <c r="Z40" i="5"/>
  <c r="Y60" i="7"/>
  <c r="AF100" i="12"/>
  <c r="AF92" i="12"/>
  <c r="AF134" i="7"/>
  <c r="AE114" i="3"/>
  <c r="AF131" i="4"/>
  <c r="Y49" i="8"/>
  <c r="AF86" i="3"/>
  <c r="AE27" i="10"/>
  <c r="Y21" i="6"/>
  <c r="Z65" i="10"/>
  <c r="Z31" i="10"/>
  <c r="AE56" i="4"/>
  <c r="AE111" i="8"/>
  <c r="AF67" i="5"/>
  <c r="Z42" i="3"/>
  <c r="AF85" i="5"/>
  <c r="Y54" i="9"/>
  <c r="AE29" i="10"/>
  <c r="Y8" i="12"/>
  <c r="AF34" i="3"/>
  <c r="AF130" i="4"/>
  <c r="AF105" i="8"/>
  <c r="AE61" i="4"/>
  <c r="Y29" i="11"/>
  <c r="Y17" i="8"/>
  <c r="AE71" i="7"/>
  <c r="Z12" i="7"/>
  <c r="Y32" i="6"/>
  <c r="Z67" i="6"/>
  <c r="AE46" i="5"/>
  <c r="Y13" i="7"/>
  <c r="AE135" i="3"/>
  <c r="AE87" i="3"/>
  <c r="Z41" i="10"/>
  <c r="AF83" i="11"/>
  <c r="Z45" i="8"/>
  <c r="AF116" i="9"/>
  <c r="Z56" i="12"/>
  <c r="Z66" i="10"/>
  <c r="Z34" i="8"/>
  <c r="AE102" i="11"/>
  <c r="Y31" i="12"/>
  <c r="AF18" i="8"/>
  <c r="AF37" i="5"/>
  <c r="AF76" i="5"/>
  <c r="AE22" i="3"/>
  <c r="AE84" i="10"/>
  <c r="Z64" i="10"/>
  <c r="AF11" i="8"/>
  <c r="AF14" i="5"/>
  <c r="AF52" i="9"/>
  <c r="Y54" i="6"/>
  <c r="Y12" i="6"/>
  <c r="Y54" i="5"/>
  <c r="Z59" i="5"/>
  <c r="Y32" i="11"/>
  <c r="AE13" i="4"/>
  <c r="Y32" i="3"/>
  <c r="AF61" i="3"/>
  <c r="AE15" i="7"/>
  <c r="AE127" i="6"/>
  <c r="Z40" i="8"/>
  <c r="Y46" i="7"/>
  <c r="Z43" i="10"/>
  <c r="Y37" i="9"/>
  <c r="Y28" i="6"/>
  <c r="AE81" i="8"/>
  <c r="AF83" i="8"/>
  <c r="AE118" i="4"/>
  <c r="AF113" i="4"/>
  <c r="AF64" i="4"/>
  <c r="AE75" i="7"/>
  <c r="Z32" i="6"/>
  <c r="AE48" i="4"/>
  <c r="AE12" i="6"/>
  <c r="Y9" i="5"/>
  <c r="AE38" i="11"/>
  <c r="AE14" i="3"/>
  <c r="Y9" i="7"/>
  <c r="Z59" i="11"/>
  <c r="Y66" i="7"/>
  <c r="Z50" i="12"/>
  <c r="Y65" i="11"/>
  <c r="AE39" i="11"/>
  <c r="Y52" i="12"/>
  <c r="AE48" i="12"/>
  <c r="AE117" i="7"/>
  <c r="Y41" i="7"/>
  <c r="AF22" i="6"/>
  <c r="AE103" i="11"/>
  <c r="AE63" i="3"/>
  <c r="AF81" i="6"/>
  <c r="Y33" i="5"/>
  <c r="Z48" i="9"/>
  <c r="AF120" i="8"/>
  <c r="AF102" i="9"/>
  <c r="Z63" i="4"/>
  <c r="Y60" i="11"/>
  <c r="AF40" i="4"/>
  <c r="Z21" i="10"/>
  <c r="AF16" i="9"/>
  <c r="AE84" i="7"/>
  <c r="AF73" i="3"/>
  <c r="Z53" i="7"/>
  <c r="AF83" i="3"/>
  <c r="Z16" i="7"/>
  <c r="AE14" i="8"/>
  <c r="AF26" i="9"/>
  <c r="AE72" i="11"/>
  <c r="AF55" i="4"/>
  <c r="Z45" i="9"/>
  <c r="AF82" i="12"/>
  <c r="AF114" i="11"/>
  <c r="Z53" i="5"/>
  <c r="AE29" i="3"/>
  <c r="Z29" i="3"/>
  <c r="AE67" i="11"/>
  <c r="AE47" i="4"/>
  <c r="AF112" i="9"/>
  <c r="Z43" i="5"/>
  <c r="Y21" i="9"/>
  <c r="AE13" i="7"/>
  <c r="AE82" i="9"/>
  <c r="Y36" i="7"/>
  <c r="AF28" i="11"/>
  <c r="Y27" i="6"/>
  <c r="AF112" i="7"/>
  <c r="Z63" i="11"/>
  <c r="AE18" i="6"/>
  <c r="AE45" i="4"/>
  <c r="AF88" i="3"/>
  <c r="Z60" i="3"/>
  <c r="AF120" i="9"/>
  <c r="AF106" i="9"/>
  <c r="AE7" i="11"/>
  <c r="AF77" i="3"/>
  <c r="AF85" i="4"/>
  <c r="Z64" i="7"/>
  <c r="Y9" i="11"/>
  <c r="Z25" i="9"/>
  <c r="Y34" i="8"/>
  <c r="Y49" i="3"/>
  <c r="AE34" i="3"/>
  <c r="Z29" i="11"/>
  <c r="Y33" i="12"/>
  <c r="AF88" i="10"/>
  <c r="Y40" i="5"/>
  <c r="Z11" i="3"/>
  <c r="Z31" i="3"/>
  <c r="Z30" i="12"/>
  <c r="AE123" i="6"/>
  <c r="AF10" i="6"/>
  <c r="Y64" i="3"/>
  <c r="AF91" i="7"/>
  <c r="AE78" i="10"/>
  <c r="Y38" i="8"/>
  <c r="Y20" i="6"/>
  <c r="Y63" i="8"/>
  <c r="AE64" i="3"/>
  <c r="Y61" i="11"/>
  <c r="Z30" i="9"/>
  <c r="AF90" i="4"/>
  <c r="AE26" i="9"/>
  <c r="AF88" i="7"/>
  <c r="Z33" i="8"/>
  <c r="Y31" i="3"/>
  <c r="AE85" i="7"/>
  <c r="Y64" i="6"/>
  <c r="AF72" i="10"/>
  <c r="AE113" i="4"/>
  <c r="AF106" i="8"/>
  <c r="Z11" i="6"/>
  <c r="AF34" i="12"/>
  <c r="AE116" i="6"/>
  <c r="AE134" i="5"/>
  <c r="AE19" i="8"/>
  <c r="Y63" i="7"/>
  <c r="Y13" i="3"/>
  <c r="Z32" i="7"/>
  <c r="AE53" i="9"/>
  <c r="AF9" i="4"/>
  <c r="AF42" i="5"/>
  <c r="AE71" i="5"/>
  <c r="AE70" i="4"/>
  <c r="AF18" i="6"/>
  <c r="Z52" i="12"/>
  <c r="Y11" i="9"/>
  <c r="AF28" i="4"/>
  <c r="Y49" i="9"/>
  <c r="Z13" i="3"/>
  <c r="Z61" i="5"/>
  <c r="AF117" i="6"/>
  <c r="Z61" i="6"/>
  <c r="Z24" i="7"/>
  <c r="Y58" i="8"/>
  <c r="Y19" i="7"/>
  <c r="AF59" i="7"/>
  <c r="AF60" i="9"/>
  <c r="Y55" i="5"/>
  <c r="AF26" i="6"/>
  <c r="AE69" i="6"/>
  <c r="AE60" i="6"/>
  <c r="AE8" i="3"/>
  <c r="AF109" i="9"/>
  <c r="Z65" i="4"/>
  <c r="Z7" i="3"/>
  <c r="AE135" i="9"/>
  <c r="AF15" i="3"/>
  <c r="Y47" i="7"/>
  <c r="Z9" i="6"/>
  <c r="Z60" i="4"/>
  <c r="AE39" i="8"/>
  <c r="Z59" i="9"/>
  <c r="AF83" i="6"/>
  <c r="Z28" i="6"/>
  <c r="Z43" i="6"/>
  <c r="AE65" i="5"/>
  <c r="AF11" i="7"/>
  <c r="AE91" i="11"/>
  <c r="Y11" i="4"/>
  <c r="Y42" i="12"/>
  <c r="AF121" i="8"/>
  <c r="AF101" i="7"/>
  <c r="Z26" i="7"/>
  <c r="AF71" i="8"/>
  <c r="AF61" i="11"/>
  <c r="AF57" i="5"/>
  <c r="AE130" i="10"/>
  <c r="AE19" i="3"/>
  <c r="AF76" i="6"/>
  <c r="AF74" i="8"/>
  <c r="AF74" i="5"/>
  <c r="Y58" i="5"/>
  <c r="AE32" i="6"/>
  <c r="AE121" i="7"/>
  <c r="AE33" i="8"/>
  <c r="AF18" i="12"/>
  <c r="Z24" i="8"/>
  <c r="AE67" i="4"/>
  <c r="AE76" i="6"/>
  <c r="Z33" i="7"/>
  <c r="AE42" i="11"/>
  <c r="Y24" i="3"/>
  <c r="AE132" i="12"/>
  <c r="AE7" i="3"/>
  <c r="Y46" i="3"/>
  <c r="Z54" i="11"/>
  <c r="Z16" i="11"/>
  <c r="AF12" i="7"/>
  <c r="AF13" i="4"/>
  <c r="Z11" i="7"/>
  <c r="Z62" i="9"/>
  <c r="AF37" i="7"/>
  <c r="Z33" i="6"/>
  <c r="AF78" i="5"/>
  <c r="AF70" i="9"/>
  <c r="AF79" i="7"/>
  <c r="Z42" i="5"/>
  <c r="AE44" i="4"/>
  <c r="AE100" i="8"/>
  <c r="AE92" i="8"/>
  <c r="Y22" i="9"/>
  <c r="AF66" i="8"/>
  <c r="Y42" i="3"/>
  <c r="AF107" i="3"/>
  <c r="AF39" i="11"/>
  <c r="Y57" i="4"/>
  <c r="Z65" i="5"/>
  <c r="Z59" i="4"/>
  <c r="AE11" i="10"/>
  <c r="Z30" i="10"/>
  <c r="Z43" i="4"/>
  <c r="Z49" i="6"/>
  <c r="Z39" i="10"/>
  <c r="AE31" i="9"/>
  <c r="Z48" i="12"/>
  <c r="AF61" i="4"/>
  <c r="AF60" i="10"/>
  <c r="AE116" i="3"/>
  <c r="Y10" i="11"/>
  <c r="Z56" i="11"/>
  <c r="AE90" i="3"/>
  <c r="Z31" i="12"/>
  <c r="AE77" i="7"/>
  <c r="AF35" i="3"/>
  <c r="Y33" i="9"/>
  <c r="Y8" i="7"/>
  <c r="Z17" i="5"/>
  <c r="AE129" i="9"/>
  <c r="AF121" i="9"/>
  <c r="AF73" i="7"/>
  <c r="Z12" i="8"/>
  <c r="Y46" i="11"/>
  <c r="AE80" i="6"/>
  <c r="AE46" i="6"/>
  <c r="AF68" i="8"/>
  <c r="AF135" i="6"/>
  <c r="AE30" i="7"/>
  <c r="Y47" i="11"/>
  <c r="Z56" i="6"/>
  <c r="AE60" i="10"/>
  <c r="Z53" i="3"/>
  <c r="AE134" i="6"/>
  <c r="AE25" i="4"/>
  <c r="Y56" i="7"/>
  <c r="Z51" i="10"/>
  <c r="AF132" i="10"/>
  <c r="Z58" i="8"/>
  <c r="AE38" i="8"/>
  <c r="AF35" i="6"/>
  <c r="Z25" i="12"/>
  <c r="Z46" i="8"/>
  <c r="Y13" i="6"/>
  <c r="AF22" i="7"/>
  <c r="AE25" i="6"/>
  <c r="Y39" i="9"/>
  <c r="Y7" i="8"/>
  <c r="AE12" i="4"/>
  <c r="AF62" i="5"/>
  <c r="AF82" i="11"/>
  <c r="Z41" i="6"/>
  <c r="AF66" i="11"/>
  <c r="AE15" i="8"/>
  <c r="AF44" i="11"/>
  <c r="AF44" i="8"/>
  <c r="AE88" i="3"/>
  <c r="AF112" i="10"/>
  <c r="Z40" i="11"/>
  <c r="AF104" i="12"/>
  <c r="Y51" i="7"/>
  <c r="AE44" i="12"/>
  <c r="AF18" i="7"/>
  <c r="Z66" i="5"/>
  <c r="AE75" i="10"/>
  <c r="AE83" i="7"/>
  <c r="AF108" i="3"/>
  <c r="AE111" i="12"/>
  <c r="AE45" i="9"/>
  <c r="AF115" i="12"/>
  <c r="AF43" i="7"/>
  <c r="AF11" i="9"/>
  <c r="AF10" i="3"/>
  <c r="Z13" i="11"/>
  <c r="AF112" i="11"/>
  <c r="AE38" i="7"/>
  <c r="AE25" i="10"/>
  <c r="Z23" i="10"/>
  <c r="AF106" i="10"/>
  <c r="Z54" i="10"/>
  <c r="Y47" i="4"/>
  <c r="Z19" i="11"/>
  <c r="Z66" i="6"/>
  <c r="Y25" i="6"/>
  <c r="Z29" i="12"/>
  <c r="AF27" i="5"/>
  <c r="AF62" i="8"/>
  <c r="AF36" i="5"/>
  <c r="Z28" i="10"/>
  <c r="AE56" i="5"/>
  <c r="AE12" i="9"/>
  <c r="AF54" i="10"/>
  <c r="AE57" i="11"/>
  <c r="AF127" i="11"/>
  <c r="AF53" i="9"/>
  <c r="AF74" i="6"/>
  <c r="AE124" i="6"/>
  <c r="Y26" i="4"/>
  <c r="AF70" i="11"/>
  <c r="AF42" i="3"/>
  <c r="AF81" i="8"/>
  <c r="AF132" i="8"/>
  <c r="AF9" i="8"/>
  <c r="AE16" i="6"/>
  <c r="Z9" i="5"/>
  <c r="Z35" i="7"/>
  <c r="Y28" i="3"/>
  <c r="AE64" i="5"/>
  <c r="AE32" i="4"/>
  <c r="AE78" i="3"/>
  <c r="Z38" i="3"/>
  <c r="Y41" i="11"/>
  <c r="Y36" i="3"/>
  <c r="Y16" i="12"/>
  <c r="AF108" i="9"/>
  <c r="AE107" i="3"/>
  <c r="AE35" i="11"/>
  <c r="AE8" i="6"/>
  <c r="AF129" i="8"/>
  <c r="Z60" i="8"/>
  <c r="AF20" i="8"/>
  <c r="AE103" i="12"/>
  <c r="Z31" i="6"/>
  <c r="AE133" i="9"/>
  <c r="AE55" i="4"/>
  <c r="Y63" i="6"/>
  <c r="AE117" i="5"/>
  <c r="Y10" i="6"/>
  <c r="AE69" i="4"/>
  <c r="Y32" i="9"/>
  <c r="AF72" i="7"/>
  <c r="AF12" i="8"/>
  <c r="Y41" i="12"/>
  <c r="Z26" i="8"/>
  <c r="AE16" i="5"/>
  <c r="Y57" i="12"/>
  <c r="AE45" i="11"/>
  <c r="Z58" i="11"/>
  <c r="AF90" i="6"/>
  <c r="AE133" i="10"/>
  <c r="Z43" i="12"/>
  <c r="AE100" i="10"/>
  <c r="AE92" i="10"/>
  <c r="Y47" i="12"/>
  <c r="AF34" i="6"/>
  <c r="Y14" i="8"/>
  <c r="AF131" i="3"/>
  <c r="Z42" i="9"/>
  <c r="Z59" i="7"/>
  <c r="Z65" i="9"/>
  <c r="AE49" i="4"/>
  <c r="AF71" i="3"/>
  <c r="Y33" i="7"/>
  <c r="Y54" i="12"/>
  <c r="Y43" i="5"/>
  <c r="AE123" i="9"/>
  <c r="AE65" i="4"/>
  <c r="Z20" i="4"/>
  <c r="Z38" i="7"/>
  <c r="AF69" i="12"/>
  <c r="Y29" i="10"/>
  <c r="AF124" i="7"/>
  <c r="Y61" i="9"/>
  <c r="Y24" i="4"/>
  <c r="AF120" i="7"/>
  <c r="AF75" i="12"/>
  <c r="AF29" i="4"/>
  <c r="Y11" i="10"/>
  <c r="AF107" i="12"/>
  <c r="Z35" i="9"/>
  <c r="AE106" i="9"/>
  <c r="Z22" i="8"/>
  <c r="AE130" i="12"/>
  <c r="AE118" i="6"/>
  <c r="Y19" i="8"/>
  <c r="AE79" i="12"/>
  <c r="AE12" i="3"/>
  <c r="Y50" i="6"/>
  <c r="AF87" i="10"/>
  <c r="AF49" i="12"/>
  <c r="AE41" i="3"/>
  <c r="AF103" i="10"/>
  <c r="AE53" i="5"/>
  <c r="Y44" i="4"/>
  <c r="AE67" i="6"/>
  <c r="Y64" i="11"/>
  <c r="AE114" i="12"/>
  <c r="Z22" i="5"/>
  <c r="Y37" i="8"/>
  <c r="Y54" i="4"/>
  <c r="Y53" i="10"/>
  <c r="AF40" i="7"/>
  <c r="AF31" i="6"/>
  <c r="AF123" i="10"/>
  <c r="Z56" i="4"/>
  <c r="Z10" i="5"/>
  <c r="AE61" i="10"/>
  <c r="Z18" i="8"/>
  <c r="AE46" i="11"/>
  <c r="AF70" i="5"/>
  <c r="Z24" i="3"/>
  <c r="Z22" i="11"/>
  <c r="AE92" i="5"/>
  <c r="AE100" i="5"/>
  <c r="AF32" i="8"/>
  <c r="Y15" i="3"/>
  <c r="AF90" i="10"/>
  <c r="AE85" i="3"/>
  <c r="AF127" i="10"/>
  <c r="AE31" i="7"/>
  <c r="Z52" i="6"/>
  <c r="Z44" i="10"/>
  <c r="Z38" i="5"/>
  <c r="AE81" i="4"/>
  <c r="Y36" i="11"/>
  <c r="AE67" i="3"/>
  <c r="Y49" i="10"/>
  <c r="Y58" i="4"/>
  <c r="Y21" i="4"/>
  <c r="AE31" i="10"/>
  <c r="AF12" i="5"/>
  <c r="AE19" i="5"/>
  <c r="AE45" i="5"/>
  <c r="Y39" i="12"/>
  <c r="Z46" i="4"/>
  <c r="AE124" i="7"/>
  <c r="Y46" i="5"/>
  <c r="Y23" i="11"/>
  <c r="AE21" i="4"/>
  <c r="AF121" i="7"/>
  <c r="Z58" i="5"/>
  <c r="AF116" i="11"/>
  <c r="Z60" i="5"/>
  <c r="AF70" i="8"/>
  <c r="Y12" i="8"/>
  <c r="AF116" i="3"/>
  <c r="AF118" i="7"/>
  <c r="AF111" i="4"/>
  <c r="Y41" i="5"/>
  <c r="AF73" i="5"/>
  <c r="AF37" i="4"/>
  <c r="AF64" i="6"/>
  <c r="Y27" i="9"/>
  <c r="Z12" i="12"/>
  <c r="Z52" i="8"/>
  <c r="AF8" i="3"/>
  <c r="AF25" i="9"/>
  <c r="Z47" i="10"/>
  <c r="AF23" i="5"/>
  <c r="AF28" i="8"/>
  <c r="AF29" i="5"/>
  <c r="AF111" i="5"/>
  <c r="AF50" i="4"/>
  <c r="Y26" i="5"/>
  <c r="AE105" i="9"/>
  <c r="AE11" i="6"/>
  <c r="AF40" i="10"/>
  <c r="AF27" i="4"/>
  <c r="Y20" i="3"/>
  <c r="AE25" i="7"/>
  <c r="AE32" i="10"/>
  <c r="AF84" i="5"/>
  <c r="AF58" i="10"/>
  <c r="Z17" i="12"/>
  <c r="Y47" i="10"/>
  <c r="AE9" i="4"/>
  <c r="AF80" i="6"/>
  <c r="Y55" i="6"/>
  <c r="AE107" i="6"/>
  <c r="AE64" i="7"/>
  <c r="Z32" i="12"/>
  <c r="AE104" i="10"/>
  <c r="AE45" i="3"/>
  <c r="Y61" i="3"/>
  <c r="Z39" i="3"/>
  <c r="AE121" i="5"/>
  <c r="AE11" i="9"/>
  <c r="AE122" i="11"/>
  <c r="AE92" i="3"/>
  <c r="AE100" i="3"/>
  <c r="AE108" i="3"/>
  <c r="AF26" i="3"/>
  <c r="AF115" i="7"/>
  <c r="AE132" i="8"/>
  <c r="AE114" i="10"/>
  <c r="AE46" i="10"/>
  <c r="Z14" i="6"/>
  <c r="Z57" i="7"/>
  <c r="AF85" i="10"/>
  <c r="AF105" i="7"/>
  <c r="AF43" i="3"/>
  <c r="AF75" i="5"/>
  <c r="AF12" i="10"/>
  <c r="Z41" i="5"/>
  <c r="AE47" i="9"/>
  <c r="AF10" i="4"/>
  <c r="AE22" i="12"/>
  <c r="Z13" i="4"/>
  <c r="Z34" i="7"/>
  <c r="AF49" i="3"/>
  <c r="AF127" i="9"/>
  <c r="AF108" i="4"/>
  <c r="AF131" i="10"/>
  <c r="Z19" i="3"/>
  <c r="AE79" i="4"/>
  <c r="Y59" i="6"/>
  <c r="AE26" i="3"/>
  <c r="AF77" i="9"/>
  <c r="AF114" i="8"/>
  <c r="Z25" i="6"/>
  <c r="Z46" i="3"/>
  <c r="Y46" i="6"/>
  <c r="Y17" i="9"/>
  <c r="Z21" i="8"/>
  <c r="AE115" i="4"/>
  <c r="AF80" i="9"/>
  <c r="AF17" i="3"/>
  <c r="AF12" i="3"/>
  <c r="AE62" i="6"/>
  <c r="Z58" i="6"/>
  <c r="AF35" i="12"/>
  <c r="AF71" i="10"/>
  <c r="Y25" i="7"/>
  <c r="Z38" i="4"/>
  <c r="AF81" i="5"/>
  <c r="AF57" i="10"/>
  <c r="AE21" i="10"/>
  <c r="Z20" i="10"/>
  <c r="AE121" i="8"/>
  <c r="Y63" i="5"/>
  <c r="AF128" i="3"/>
  <c r="Y18" i="11"/>
  <c r="Y30" i="7"/>
  <c r="AE100" i="9"/>
  <c r="AE92" i="9"/>
  <c r="Z43" i="7"/>
  <c r="Y30" i="6"/>
  <c r="Y16" i="3"/>
  <c r="AF28" i="7"/>
  <c r="Y50" i="3"/>
  <c r="AF111" i="7"/>
  <c r="Z60" i="11"/>
  <c r="AF38" i="11"/>
  <c r="Z36" i="7"/>
  <c r="AF132" i="6"/>
  <c r="Y30" i="5"/>
  <c r="AE27" i="4"/>
  <c r="AF90" i="7"/>
  <c r="AE27" i="3"/>
  <c r="AF52" i="7"/>
  <c r="AF8" i="11"/>
  <c r="Z55" i="9"/>
  <c r="AE114" i="6"/>
  <c r="AF62" i="3"/>
  <c r="AE135" i="4"/>
  <c r="AF127" i="6"/>
  <c r="Y58" i="7"/>
  <c r="AE17" i="11"/>
  <c r="AF20" i="9"/>
  <c r="AE121" i="12"/>
  <c r="Y53" i="12"/>
  <c r="Z19" i="10"/>
  <c r="AE76" i="5"/>
  <c r="Y33" i="6"/>
  <c r="AE73" i="4"/>
  <c r="Y66" i="9"/>
  <c r="Z36" i="6"/>
  <c r="AF21" i="4"/>
  <c r="AE81" i="10"/>
  <c r="Y27" i="12"/>
  <c r="AF82" i="5"/>
  <c r="AF119" i="8"/>
  <c r="AF35" i="10"/>
  <c r="AE107" i="11"/>
  <c r="Y53" i="11"/>
  <c r="AF126" i="5"/>
  <c r="AE134" i="9"/>
  <c r="AF124" i="4"/>
  <c r="AF83" i="4"/>
  <c r="AF52" i="8"/>
  <c r="AF45" i="12"/>
  <c r="AF45" i="6"/>
  <c r="AE125" i="12"/>
  <c r="AE64" i="8"/>
  <c r="AE103" i="9"/>
  <c r="AF33" i="11"/>
  <c r="AE101" i="4"/>
  <c r="Y35" i="12"/>
  <c r="AF68" i="7"/>
  <c r="Y10" i="7"/>
  <c r="Z21" i="3"/>
  <c r="AF40" i="3"/>
  <c r="Y23" i="6"/>
  <c r="Y26" i="9"/>
  <c r="AE19" i="4"/>
  <c r="AE26" i="7"/>
  <c r="Y62" i="4"/>
  <c r="AF59" i="10"/>
  <c r="AF123" i="9"/>
  <c r="AE83" i="9"/>
  <c r="Z35" i="3"/>
  <c r="AE78" i="11"/>
  <c r="Z66" i="11"/>
  <c r="AF100" i="6"/>
  <c r="AF92" i="6"/>
  <c r="AE73" i="7"/>
  <c r="AE87" i="10"/>
  <c r="AE74" i="5"/>
  <c r="Y62" i="10"/>
  <c r="AF60" i="7"/>
  <c r="Y20" i="4"/>
  <c r="AE43" i="9"/>
  <c r="AE107" i="7"/>
  <c r="AE25" i="3"/>
  <c r="Y63" i="9"/>
  <c r="AE35" i="4"/>
  <c r="AF30" i="8"/>
  <c r="AE13" i="5"/>
  <c r="Z54" i="9"/>
  <c r="AE15" i="6"/>
  <c r="Z20" i="11"/>
  <c r="Y37" i="5"/>
  <c r="AF68" i="11"/>
  <c r="Y8" i="11"/>
  <c r="AF16" i="8"/>
  <c r="AF125" i="5"/>
  <c r="Z27" i="8"/>
  <c r="Z56" i="8"/>
  <c r="AF48" i="6"/>
  <c r="Z55" i="7"/>
  <c r="Z8" i="7"/>
  <c r="AE86" i="10"/>
  <c r="Z24" i="6"/>
  <c r="AF66" i="10"/>
  <c r="Z61" i="10"/>
  <c r="AE102" i="6"/>
  <c r="Z27" i="6"/>
  <c r="Z17" i="3"/>
  <c r="AE18" i="5"/>
  <c r="AE119" i="11"/>
  <c r="AF112" i="5"/>
  <c r="AF72" i="6"/>
  <c r="AE68" i="5"/>
  <c r="Z64" i="8"/>
  <c r="Z64" i="9"/>
  <c r="AE83" i="5"/>
  <c r="Z61" i="3"/>
  <c r="Z52" i="7"/>
  <c r="Y50" i="4"/>
  <c r="Y22" i="11"/>
  <c r="Z13" i="6"/>
  <c r="AE87" i="6"/>
  <c r="AF34" i="10"/>
  <c r="AF107" i="8"/>
  <c r="AE111" i="11"/>
  <c r="Z35" i="12"/>
  <c r="Y17" i="6"/>
  <c r="Z17" i="11"/>
  <c r="AF63" i="3"/>
  <c r="AE32" i="5"/>
  <c r="AE58" i="7"/>
  <c r="AE104" i="4"/>
  <c r="Z18" i="11"/>
  <c r="Z21" i="5"/>
  <c r="AE22" i="10"/>
  <c r="Y24" i="8"/>
  <c r="AE76" i="12"/>
  <c r="Y63" i="12"/>
  <c r="AF134" i="10"/>
  <c r="Z26" i="12"/>
  <c r="AF131" i="5"/>
  <c r="AE33" i="3"/>
  <c r="Z8" i="10"/>
  <c r="Z44" i="5"/>
  <c r="AF57" i="8"/>
  <c r="Y41" i="9"/>
  <c r="AF53" i="6"/>
  <c r="Y12" i="7"/>
  <c r="Z22" i="10"/>
  <c r="Z44" i="12"/>
  <c r="AF73" i="4"/>
  <c r="AF63" i="4"/>
  <c r="Y18" i="6"/>
  <c r="AE124" i="12"/>
  <c r="AE21" i="6"/>
  <c r="AE108" i="8"/>
  <c r="Y44" i="3"/>
  <c r="AE65" i="10"/>
  <c r="AE69" i="8"/>
  <c r="Y39" i="3"/>
  <c r="AE19" i="12"/>
  <c r="AF59" i="6"/>
  <c r="AF51" i="8"/>
  <c r="Y62" i="11"/>
  <c r="AF75" i="4"/>
  <c r="AF108" i="7"/>
  <c r="AE50" i="11"/>
  <c r="AE87" i="12"/>
  <c r="Y13" i="4"/>
  <c r="Z56" i="10"/>
  <c r="Z38" i="10"/>
  <c r="Z58" i="10"/>
  <c r="AF132" i="3"/>
  <c r="AF17" i="8"/>
  <c r="Y23" i="5"/>
  <c r="Z65" i="8"/>
  <c r="Z40" i="4"/>
  <c r="AF132" i="11"/>
  <c r="Y15" i="5"/>
  <c r="AF34" i="5"/>
  <c r="AF32" i="10"/>
  <c r="Y62" i="6"/>
  <c r="AF87" i="7"/>
  <c r="AF64" i="10"/>
  <c r="Z27" i="4"/>
  <c r="AE73" i="6"/>
  <c r="AE124" i="8"/>
  <c r="AE69" i="3"/>
  <c r="AF108" i="10"/>
  <c r="AE16" i="10"/>
  <c r="AE52" i="4"/>
  <c r="Z56" i="9"/>
  <c r="AF113" i="12"/>
  <c r="AF131" i="8"/>
  <c r="AE90" i="4"/>
  <c r="AE127" i="5"/>
  <c r="AF109" i="7"/>
  <c r="AE56" i="7"/>
  <c r="AE124" i="4"/>
  <c r="AF7" i="11"/>
  <c r="Y11" i="11"/>
  <c r="Z11" i="8"/>
  <c r="Z39" i="7"/>
  <c r="AF46" i="4"/>
  <c r="Y36" i="8"/>
  <c r="AE90" i="6"/>
  <c r="AE122" i="5"/>
  <c r="AF101" i="4"/>
  <c r="Z50" i="7"/>
  <c r="AE49" i="10"/>
  <c r="AF67" i="4"/>
  <c r="AF122" i="6"/>
  <c r="AF11" i="5"/>
  <c r="AF134" i="5"/>
  <c r="Z47" i="3"/>
  <c r="AE104" i="3"/>
  <c r="Y34" i="6"/>
  <c r="Y52" i="11"/>
  <c r="AE131" i="4"/>
  <c r="AE131" i="3"/>
  <c r="AE66" i="7"/>
  <c r="AF63" i="8"/>
  <c r="AE117" i="9"/>
  <c r="AF131" i="6"/>
  <c r="Y47" i="9"/>
  <c r="Z17" i="9"/>
  <c r="AE128" i="9"/>
  <c r="AF114" i="12"/>
  <c r="Z10" i="9"/>
  <c r="Z40" i="7"/>
  <c r="Z21" i="7"/>
  <c r="AF37" i="11"/>
  <c r="AE19" i="9"/>
  <c r="Y54" i="8"/>
  <c r="Y32" i="8"/>
  <c r="AE105" i="8"/>
  <c r="AE87" i="4"/>
  <c r="AF41" i="10"/>
  <c r="AF56" i="9"/>
  <c r="AF113" i="11"/>
  <c r="AE20" i="9"/>
  <c r="AF121" i="5"/>
  <c r="Z30" i="4"/>
  <c r="Y39" i="11"/>
  <c r="AF44" i="3"/>
  <c r="AE125" i="8"/>
  <c r="Y46" i="10"/>
  <c r="AE38" i="9"/>
  <c r="AF20" i="3"/>
  <c r="AE108" i="12"/>
  <c r="AF53" i="10"/>
  <c r="AF71" i="5"/>
  <c r="AE55" i="11"/>
  <c r="AF36" i="4"/>
  <c r="AF102" i="5"/>
  <c r="AE44" i="3"/>
  <c r="AF35" i="4"/>
  <c r="AF135" i="9"/>
  <c r="Z64" i="12"/>
  <c r="Z14" i="5"/>
  <c r="AE20" i="12"/>
  <c r="AF65" i="8"/>
  <c r="AF110" i="5"/>
  <c r="AF15" i="10"/>
  <c r="Z15" i="10"/>
  <c r="AE135" i="11"/>
  <c r="AF59" i="4"/>
  <c r="Z41" i="11"/>
  <c r="AE112" i="6"/>
  <c r="Z44" i="7"/>
  <c r="Z21" i="11"/>
  <c r="AF78" i="10"/>
  <c r="AE27" i="9"/>
  <c r="AE40" i="10"/>
  <c r="AF76" i="10"/>
  <c r="AF77" i="7"/>
  <c r="AE39" i="5"/>
  <c r="AE108" i="11"/>
  <c r="Z65" i="12"/>
  <c r="Y58" i="9"/>
  <c r="Z32" i="3"/>
  <c r="AE39" i="6"/>
  <c r="Z30" i="11"/>
  <c r="Y64" i="8"/>
  <c r="Y37" i="7"/>
  <c r="Z49" i="9"/>
  <c r="AE68" i="9"/>
  <c r="Z55" i="6"/>
  <c r="Z18" i="7"/>
  <c r="AE119" i="8"/>
  <c r="AF54" i="6"/>
  <c r="AF9" i="6"/>
  <c r="AE75" i="6"/>
  <c r="AE131" i="7"/>
  <c r="Y36" i="9"/>
  <c r="AF49" i="6"/>
  <c r="AE32" i="8"/>
  <c r="AF89" i="11"/>
  <c r="Y33" i="4"/>
  <c r="AF15" i="5"/>
  <c r="AF116" i="12"/>
  <c r="Z62" i="10"/>
  <c r="Z51" i="5"/>
  <c r="Z31" i="4"/>
  <c r="AF31" i="10"/>
  <c r="Z20" i="12"/>
  <c r="Y25" i="9"/>
  <c r="AE134" i="4"/>
  <c r="AF107" i="5"/>
  <c r="AE48" i="10"/>
  <c r="AE103" i="10"/>
  <c r="Y33" i="10"/>
  <c r="AE101" i="6"/>
  <c r="AF58" i="8"/>
  <c r="AF68" i="10"/>
  <c r="AE56" i="11"/>
  <c r="AF113" i="10"/>
  <c r="AF32" i="9"/>
  <c r="Z26" i="6"/>
  <c r="Z37" i="4"/>
  <c r="AF34" i="8"/>
  <c r="AE88" i="12"/>
  <c r="AE123" i="7"/>
  <c r="AF80" i="8"/>
  <c r="AF117" i="5"/>
  <c r="AF128" i="5"/>
  <c r="AE38" i="4"/>
  <c r="AF52" i="4"/>
  <c r="AE38" i="12"/>
  <c r="AE106" i="7"/>
  <c r="AE133" i="8"/>
  <c r="AF64" i="7"/>
  <c r="AE51" i="3"/>
  <c r="Y27" i="7"/>
  <c r="Y58" i="6"/>
  <c r="Y56" i="11"/>
  <c r="Z14" i="4"/>
  <c r="AE131" i="10"/>
  <c r="AF16" i="12"/>
  <c r="Y20" i="5"/>
  <c r="AE72" i="3"/>
  <c r="Z61" i="4"/>
  <c r="AE24" i="3"/>
  <c r="Z39" i="4"/>
  <c r="AE120" i="7"/>
  <c r="AE73" i="8"/>
  <c r="AE124" i="5"/>
  <c r="AE33" i="5"/>
  <c r="Z64" i="4"/>
  <c r="AF67" i="12"/>
  <c r="AF65" i="11"/>
  <c r="AE10" i="9"/>
  <c r="Z66" i="3"/>
  <c r="Z23" i="7"/>
  <c r="AF104" i="5"/>
  <c r="Y47" i="3"/>
  <c r="AE44" i="9"/>
  <c r="AE64" i="9"/>
  <c r="AE20" i="7"/>
  <c r="AF91" i="9"/>
  <c r="AF70" i="10"/>
  <c r="Y43" i="9"/>
  <c r="Z34" i="11"/>
  <c r="AE69" i="5"/>
  <c r="AE16" i="3"/>
  <c r="Z53" i="8"/>
  <c r="Z36" i="8"/>
  <c r="AF23" i="7"/>
  <c r="AF61" i="5"/>
  <c r="AE12" i="7"/>
  <c r="AF44" i="5"/>
  <c r="AE44" i="5"/>
  <c r="Z49" i="10"/>
  <c r="AE56" i="6"/>
  <c r="Y11" i="12"/>
  <c r="Z26" i="3"/>
  <c r="Y38" i="12"/>
  <c r="AF126" i="7"/>
  <c r="AF8" i="9"/>
  <c r="AE104" i="9"/>
  <c r="AF107" i="9"/>
  <c r="Z67" i="12"/>
  <c r="Z17" i="10"/>
  <c r="Y14" i="10"/>
  <c r="AF45" i="11"/>
  <c r="Y60" i="8"/>
  <c r="AE103" i="7"/>
  <c r="AF21" i="5"/>
  <c r="AF47" i="8"/>
  <c r="Y34" i="9"/>
  <c r="AE113" i="11"/>
  <c r="AF91" i="4"/>
  <c r="Z12" i="5"/>
  <c r="AF132" i="5"/>
  <c r="AF38" i="3"/>
  <c r="Y22" i="3"/>
  <c r="AE119" i="4"/>
  <c r="Y51" i="8"/>
  <c r="AF105" i="5"/>
  <c r="Z27" i="12"/>
  <c r="Y53" i="9"/>
  <c r="AF103" i="11"/>
  <c r="Y29" i="3"/>
  <c r="AF26" i="8"/>
  <c r="Y16" i="5"/>
  <c r="AE71" i="3"/>
  <c r="AF34" i="4"/>
  <c r="Z33" i="3"/>
  <c r="AF25" i="8"/>
  <c r="Y9" i="8"/>
  <c r="AF44" i="10"/>
  <c r="AE24" i="7"/>
  <c r="Z45" i="5"/>
  <c r="Y12" i="12"/>
  <c r="AE61" i="7"/>
  <c r="AF59" i="8"/>
  <c r="AF103" i="3"/>
  <c r="AF89" i="10"/>
  <c r="Z48" i="5"/>
  <c r="Y18" i="9"/>
  <c r="AE125" i="9"/>
  <c r="Z52" i="10"/>
  <c r="AF68" i="5"/>
  <c r="Y55" i="7"/>
  <c r="AF9" i="7"/>
  <c r="AE90" i="5"/>
  <c r="Y24" i="5"/>
  <c r="AF23" i="4"/>
  <c r="Z7" i="5"/>
  <c r="AE90" i="10"/>
  <c r="Z24" i="12"/>
  <c r="Y43" i="11"/>
  <c r="Y49" i="11"/>
  <c r="AE48" i="3"/>
  <c r="AF77" i="11"/>
  <c r="Y53" i="8"/>
  <c r="AF39" i="8"/>
  <c r="Y7" i="4"/>
  <c r="AE37" i="8"/>
  <c r="AF25" i="6"/>
  <c r="AF40" i="5"/>
  <c r="AF30" i="11"/>
  <c r="AE35" i="7"/>
  <c r="Y20" i="12"/>
  <c r="AF89" i="9"/>
  <c r="AF114" i="4"/>
  <c r="AE77" i="9"/>
  <c r="Z23" i="9"/>
  <c r="AF54" i="11"/>
  <c r="Z38" i="9"/>
  <c r="Z12" i="10"/>
  <c r="Z45" i="7"/>
  <c r="AF19" i="8"/>
  <c r="Z62" i="12"/>
  <c r="Z8" i="4"/>
  <c r="Y28" i="8"/>
  <c r="AE60" i="9"/>
  <c r="AE113" i="9"/>
  <c r="AF88" i="12"/>
  <c r="Y20" i="7"/>
  <c r="AF43" i="5"/>
  <c r="Z64" i="11"/>
  <c r="AF109" i="6"/>
  <c r="AE120" i="4"/>
  <c r="Y12" i="9"/>
  <c r="AF33" i="5"/>
  <c r="AE25" i="9"/>
  <c r="AE61" i="5"/>
  <c r="AF69" i="6"/>
  <c r="Z39" i="9"/>
  <c r="Y48" i="10"/>
  <c r="AF76" i="8"/>
  <c r="Y26" i="3"/>
  <c r="AF71" i="12"/>
  <c r="Z63" i="10"/>
  <c r="Y15" i="6"/>
  <c r="AE50" i="4"/>
  <c r="Y7" i="10"/>
  <c r="AE74" i="3"/>
  <c r="AF75" i="9"/>
  <c r="AE89" i="4"/>
  <c r="Z10" i="7"/>
  <c r="Y48" i="12"/>
  <c r="AF128" i="6"/>
  <c r="AF82" i="3"/>
  <c r="Z66" i="7"/>
  <c r="AF84" i="12"/>
  <c r="AF22" i="10"/>
  <c r="AE118" i="11"/>
  <c r="AF35" i="8"/>
  <c r="AF78" i="4"/>
  <c r="AE30" i="11"/>
  <c r="Y18" i="7"/>
  <c r="Y61" i="10"/>
  <c r="Y25" i="11"/>
  <c r="Y39" i="5"/>
  <c r="AF125" i="6"/>
  <c r="Y37" i="11"/>
  <c r="AF86" i="5"/>
  <c r="AE89" i="8"/>
  <c r="AE85" i="6"/>
  <c r="Y45" i="5"/>
  <c r="Y14" i="7"/>
  <c r="Y50" i="12"/>
  <c r="AE52" i="3"/>
  <c r="Z12" i="6"/>
  <c r="AF111" i="3"/>
  <c r="Y50" i="11"/>
  <c r="AE42" i="6"/>
  <c r="Z58" i="3"/>
  <c r="AF131" i="12"/>
  <c r="Y35" i="3"/>
  <c r="Z59" i="3"/>
  <c r="AF101" i="3"/>
  <c r="AF13" i="7"/>
  <c r="Z18" i="12"/>
  <c r="Y65" i="9"/>
  <c r="Y27" i="5"/>
  <c r="Y42" i="6"/>
  <c r="AF129" i="5"/>
  <c r="AF26" i="10"/>
  <c r="Z29" i="4"/>
  <c r="AE8" i="5"/>
  <c r="AF68" i="4"/>
  <c r="Z62" i="8"/>
  <c r="Y65" i="8"/>
  <c r="AE81" i="7"/>
  <c r="AE18" i="3"/>
  <c r="Y60" i="9"/>
  <c r="AE29" i="5"/>
  <c r="AE74" i="11"/>
  <c r="AF57" i="7"/>
  <c r="AE47" i="11"/>
  <c r="Y23" i="3"/>
  <c r="AF112" i="6"/>
  <c r="Z62" i="11"/>
  <c r="Y34" i="12"/>
  <c r="Y11" i="7"/>
  <c r="AE115" i="12"/>
  <c r="AE119" i="3"/>
  <c r="AF103" i="7"/>
  <c r="AE109" i="10"/>
  <c r="AE130" i="7"/>
  <c r="AE80" i="9"/>
  <c r="Y27" i="3"/>
  <c r="AF58" i="5"/>
  <c r="AF122" i="12"/>
  <c r="Z33" i="11"/>
  <c r="AF119" i="3"/>
  <c r="AF45" i="4"/>
  <c r="Z58" i="7"/>
  <c r="AE112" i="8"/>
  <c r="AE26" i="5"/>
  <c r="Y21" i="3"/>
  <c r="AE57" i="7"/>
  <c r="AF41" i="6"/>
  <c r="AF14" i="7"/>
  <c r="Y9" i="10"/>
  <c r="Y19" i="3"/>
  <c r="AF66" i="3"/>
  <c r="Y56" i="9"/>
  <c r="AF127" i="12"/>
  <c r="AE76" i="3"/>
  <c r="AE76" i="4"/>
  <c r="AE123" i="10"/>
  <c r="AF118" i="5"/>
  <c r="AE54" i="4"/>
  <c r="AF47" i="3"/>
  <c r="Z10" i="8"/>
  <c r="Y57" i="3"/>
  <c r="Y48" i="11"/>
  <c r="AE65" i="3"/>
  <c r="Z12" i="11"/>
  <c r="Y40" i="6"/>
  <c r="Z63" i="9"/>
  <c r="AF56" i="10"/>
  <c r="AE104" i="7"/>
  <c r="AF133" i="3"/>
  <c r="AF129" i="11"/>
  <c r="AF111" i="10"/>
  <c r="AF33" i="6"/>
  <c r="Z60" i="6"/>
  <c r="AF88" i="9"/>
  <c r="AE86" i="4"/>
  <c r="Y8" i="6"/>
  <c r="Z12" i="4"/>
  <c r="AE16" i="11"/>
  <c r="Y58" i="12"/>
  <c r="AE37" i="3"/>
  <c r="AE79" i="5"/>
  <c r="AF49" i="11"/>
  <c r="AE86" i="3"/>
  <c r="Y32" i="5"/>
  <c r="AF23" i="8"/>
  <c r="Y41" i="8"/>
  <c r="AE17" i="4"/>
  <c r="Y23" i="9"/>
  <c r="Y67" i="11"/>
  <c r="AF55" i="8"/>
  <c r="Z63" i="12"/>
  <c r="Z11" i="4"/>
  <c r="AE111" i="9"/>
  <c r="Z43" i="11"/>
  <c r="AF70" i="4"/>
  <c r="Y9" i="12"/>
  <c r="AE122" i="12"/>
  <c r="Y32" i="10"/>
  <c r="AE112" i="11"/>
  <c r="Z40" i="12"/>
  <c r="AF40" i="9"/>
  <c r="AF57" i="6"/>
  <c r="Y66" i="8"/>
  <c r="AF64" i="8"/>
  <c r="AF80" i="4"/>
  <c r="AE110" i="7"/>
  <c r="AE64" i="11"/>
  <c r="AF23" i="6"/>
  <c r="AF63" i="7"/>
  <c r="AF8" i="4"/>
  <c r="AE77" i="8"/>
  <c r="Y45" i="4"/>
  <c r="AE25" i="11"/>
  <c r="AE57" i="5"/>
  <c r="AE41" i="7"/>
  <c r="Z34" i="12"/>
  <c r="AE52" i="8"/>
  <c r="Y63" i="4"/>
  <c r="Y65" i="10"/>
  <c r="AF44" i="12"/>
  <c r="AF38" i="9"/>
  <c r="AE85" i="12"/>
  <c r="AE51" i="12"/>
  <c r="AF13" i="3"/>
  <c r="AE12" i="10"/>
  <c r="AE91" i="6"/>
  <c r="AF124" i="3"/>
  <c r="Z7" i="7"/>
  <c r="Z16" i="4"/>
  <c r="AE62" i="11"/>
  <c r="Y52" i="8"/>
  <c r="AF31" i="9"/>
  <c r="AF33" i="10"/>
  <c r="AE135" i="6"/>
  <c r="AF56" i="5"/>
  <c r="Z46" i="5"/>
  <c r="AF87" i="8"/>
  <c r="AF134" i="4"/>
  <c r="Z46" i="10"/>
  <c r="AE58" i="6"/>
  <c r="AE22" i="11"/>
  <c r="AF54" i="5"/>
  <c r="Y39" i="8"/>
  <c r="AE101" i="5"/>
  <c r="AF113" i="7"/>
  <c r="AF23" i="3"/>
  <c r="Y20" i="9"/>
  <c r="Z60" i="9"/>
  <c r="AE9" i="6"/>
  <c r="Y38" i="11"/>
  <c r="Y46" i="8"/>
  <c r="Z28" i="12"/>
  <c r="Y17" i="4"/>
  <c r="Y66" i="3"/>
  <c r="Y47" i="8"/>
  <c r="Z59" i="8"/>
  <c r="Z31" i="7"/>
  <c r="Y7" i="6"/>
  <c r="AE123" i="3"/>
  <c r="AF125" i="12"/>
  <c r="AE30" i="4"/>
  <c r="AF57" i="3"/>
  <c r="AF89" i="5"/>
  <c r="AE58" i="11"/>
  <c r="Y42" i="7"/>
  <c r="AF119" i="11"/>
  <c r="Y66" i="11"/>
  <c r="AE117" i="3"/>
  <c r="Z29" i="10"/>
  <c r="Y39" i="6"/>
  <c r="AF80" i="5"/>
  <c r="AE51" i="11"/>
  <c r="Y60" i="4"/>
  <c r="Z23" i="8"/>
  <c r="AE29" i="4"/>
  <c r="Y13" i="11"/>
  <c r="AE78" i="8"/>
  <c r="AF70" i="7"/>
  <c r="AE38" i="5"/>
  <c r="Z9" i="3"/>
  <c r="AE58" i="3"/>
  <c r="AF101" i="11"/>
  <c r="Y30" i="10"/>
  <c r="AF69" i="10"/>
  <c r="Z19" i="7"/>
  <c r="AF11" i="3"/>
  <c r="AF118" i="8"/>
  <c r="AF46" i="10"/>
  <c r="Z53" i="10"/>
  <c r="Y51" i="5"/>
  <c r="AE18" i="10"/>
  <c r="AE72" i="6"/>
  <c r="Y35" i="6"/>
  <c r="AE110" i="6"/>
  <c r="Z51" i="11"/>
  <c r="Y45" i="9"/>
  <c r="AF21" i="8"/>
  <c r="AF16" i="4"/>
  <c r="AE35" i="8"/>
  <c r="AF135" i="7"/>
  <c r="Z62" i="6"/>
  <c r="AF79" i="9"/>
  <c r="AE70" i="3"/>
  <c r="AE35" i="12"/>
  <c r="Y19" i="5"/>
  <c r="AE129" i="8"/>
  <c r="AF32" i="11"/>
  <c r="AE90" i="9"/>
  <c r="AF44" i="4"/>
  <c r="Y29" i="12"/>
  <c r="Z65" i="7"/>
  <c r="AF28" i="5"/>
  <c r="AE37" i="11"/>
  <c r="AF48" i="10"/>
  <c r="AF65" i="7"/>
  <c r="AF21" i="10"/>
  <c r="Y35" i="4"/>
  <c r="AE48" i="5"/>
  <c r="Y11" i="8"/>
  <c r="AF85" i="7"/>
  <c r="Z16" i="6"/>
  <c r="AF68" i="6"/>
  <c r="AE40" i="9"/>
  <c r="Z67" i="5"/>
  <c r="AE68" i="3"/>
  <c r="AF133" i="4"/>
  <c r="AE91" i="4"/>
  <c r="AE84" i="3"/>
  <c r="Y7" i="3"/>
  <c r="AF118" i="10"/>
  <c r="AF31" i="7"/>
  <c r="AE83" i="10"/>
  <c r="AE28" i="5"/>
  <c r="Y25" i="4"/>
  <c r="Z30" i="5"/>
  <c r="AF91" i="12"/>
  <c r="Z46" i="7"/>
  <c r="AE54" i="10"/>
  <c r="Y16" i="8"/>
  <c r="AF105" i="3"/>
  <c r="AF88" i="6"/>
  <c r="AE46" i="12"/>
  <c r="AF77" i="6"/>
  <c r="Y49" i="4"/>
  <c r="AF59" i="3"/>
  <c r="AF11" i="6"/>
  <c r="AF123" i="8"/>
  <c r="AE121" i="10"/>
  <c r="AF115" i="8"/>
  <c r="AF35" i="11"/>
  <c r="AE47" i="8"/>
  <c r="Z26" i="10"/>
  <c r="AF46" i="5"/>
  <c r="AF69" i="8"/>
  <c r="AE16" i="7"/>
  <c r="AF84" i="9"/>
  <c r="AE82" i="11"/>
  <c r="Z19" i="4"/>
  <c r="Z60" i="10"/>
  <c r="AE50" i="9"/>
  <c r="AE88" i="5"/>
  <c r="AF120" i="6"/>
  <c r="Z33" i="5"/>
  <c r="AF63" i="6"/>
  <c r="AE46" i="7"/>
  <c r="Y34" i="3"/>
  <c r="AF41" i="11"/>
  <c r="AF9" i="12"/>
  <c r="AF112" i="8"/>
  <c r="AF75" i="7"/>
  <c r="AF11" i="4"/>
  <c r="Y21" i="12"/>
  <c r="AE72" i="7"/>
  <c r="Y38" i="6"/>
  <c r="AF89" i="6"/>
  <c r="AE30" i="5"/>
  <c r="AE25" i="8"/>
  <c r="AE85" i="8"/>
  <c r="AE56" i="3"/>
  <c r="Z22" i="6"/>
  <c r="AF106" i="6"/>
  <c r="AF61" i="10"/>
  <c r="Y60" i="12"/>
  <c r="Y34" i="5"/>
  <c r="AF24" i="12"/>
  <c r="AF67" i="3"/>
  <c r="AE79" i="9"/>
  <c r="Y15" i="4"/>
  <c r="AF31" i="4"/>
  <c r="Y43" i="6"/>
  <c r="Z32" i="4"/>
  <c r="AE131" i="11"/>
  <c r="AF75" i="11"/>
  <c r="AE111" i="5"/>
  <c r="AE81" i="9"/>
  <c r="AF67" i="8"/>
  <c r="AE133" i="7"/>
  <c r="Y24" i="6"/>
  <c r="AF100" i="7"/>
  <c r="AF92" i="7"/>
  <c r="AE14" i="4"/>
  <c r="AE63" i="9"/>
  <c r="AF47" i="5"/>
  <c r="Y60" i="10"/>
  <c r="AF56" i="4"/>
  <c r="Y26" i="8"/>
  <c r="AE119" i="7"/>
  <c r="Y59" i="10"/>
  <c r="AF103" i="5"/>
  <c r="AF7" i="9"/>
  <c r="Z9" i="10"/>
  <c r="Z41" i="12"/>
  <c r="AF36" i="6"/>
  <c r="AE52" i="9"/>
  <c r="AF90" i="9"/>
  <c r="Z35" i="10"/>
  <c r="AE110" i="11"/>
  <c r="AF41" i="5"/>
  <c r="AE23" i="5"/>
  <c r="AF18" i="5"/>
  <c r="AE45" i="6"/>
  <c r="AF24" i="9"/>
  <c r="AF33" i="4"/>
  <c r="Z23" i="12"/>
  <c r="AF110" i="4"/>
  <c r="Z66" i="9"/>
  <c r="AE118" i="8"/>
  <c r="AE48" i="9"/>
  <c r="AE125" i="7"/>
  <c r="AF25" i="10"/>
  <c r="AF66" i="12"/>
  <c r="AF55" i="10"/>
  <c r="AE54" i="5"/>
  <c r="AE58" i="4"/>
  <c r="AF68" i="3"/>
  <c r="AF49" i="7"/>
  <c r="Y24" i="12"/>
  <c r="AF73" i="6"/>
  <c r="AE65" i="7"/>
  <c r="AE40" i="5"/>
  <c r="AE85" i="9"/>
  <c r="AE42" i="8"/>
  <c r="AE75" i="9"/>
  <c r="AE55" i="3"/>
  <c r="AE130" i="8"/>
  <c r="AE86" i="7"/>
  <c r="AF116" i="4"/>
  <c r="AE105" i="7"/>
  <c r="AE105" i="5"/>
  <c r="AE84" i="5"/>
  <c r="Y64" i="12"/>
  <c r="AF73" i="8"/>
  <c r="AF15" i="12"/>
  <c r="AF82" i="8"/>
  <c r="Y35" i="10"/>
  <c r="AF50" i="10"/>
  <c r="AE57" i="9"/>
  <c r="AF32" i="7"/>
  <c r="AE23" i="8"/>
  <c r="AF10" i="12"/>
  <c r="Z34" i="9"/>
  <c r="AF122" i="3"/>
  <c r="AF24" i="7"/>
  <c r="AE30" i="12"/>
  <c r="AE24" i="5"/>
  <c r="AF88" i="8"/>
  <c r="Z22" i="12"/>
  <c r="Z29" i="8"/>
  <c r="Z25" i="5"/>
  <c r="AF110" i="9"/>
  <c r="AF121" i="11"/>
  <c r="AF116" i="6"/>
  <c r="Y56" i="8"/>
  <c r="Z8" i="5"/>
  <c r="AF45" i="10"/>
  <c r="AF39" i="10"/>
  <c r="AF16" i="10"/>
  <c r="Z57" i="5"/>
  <c r="AF69" i="5"/>
  <c r="Y67" i="7"/>
  <c r="Y22" i="7"/>
  <c r="AF15" i="7"/>
  <c r="AF19" i="11"/>
  <c r="AF27" i="11"/>
  <c r="Z37" i="11"/>
  <c r="AF128" i="10"/>
  <c r="Z44" i="3"/>
  <c r="AE20" i="11"/>
  <c r="AE120" i="9"/>
  <c r="AE13" i="11"/>
  <c r="AF74" i="7"/>
  <c r="AF55" i="12"/>
  <c r="Y53" i="6"/>
  <c r="AF71" i="6"/>
  <c r="AE31" i="4"/>
  <c r="AF123" i="4"/>
  <c r="AE34" i="5"/>
  <c r="AE111" i="4"/>
  <c r="AE90" i="12"/>
  <c r="Z20" i="9"/>
  <c r="AE70" i="8"/>
  <c r="AE83" i="4"/>
  <c r="AE35" i="6"/>
  <c r="AE129" i="4"/>
  <c r="AF127" i="3"/>
  <c r="Z67" i="4"/>
  <c r="AF92" i="10"/>
  <c r="AF100" i="10"/>
  <c r="Y10" i="3"/>
  <c r="AE110" i="4"/>
  <c r="AE81" i="6"/>
  <c r="AF10" i="8"/>
  <c r="Y33" i="11"/>
  <c r="Y53" i="5"/>
  <c r="AF104" i="9"/>
  <c r="AE122" i="10"/>
  <c r="Y8" i="10"/>
  <c r="AE46" i="3"/>
  <c r="Y57" i="5"/>
  <c r="AF7" i="5"/>
  <c r="AE110" i="8"/>
  <c r="AF19" i="12"/>
  <c r="Y8" i="5"/>
  <c r="AF111" i="8"/>
  <c r="AE8" i="11"/>
  <c r="Y29" i="8"/>
  <c r="AF15" i="8"/>
  <c r="AF18" i="3"/>
  <c r="AE53" i="6"/>
  <c r="AF78" i="6"/>
  <c r="Z67" i="7"/>
  <c r="AE88" i="11"/>
  <c r="Z24" i="9"/>
  <c r="AF76" i="3"/>
  <c r="AE78" i="12"/>
  <c r="AF86" i="4"/>
  <c r="AF48" i="3"/>
  <c r="AF37" i="6"/>
  <c r="Z35" i="11"/>
  <c r="AE107" i="8"/>
  <c r="AF13" i="9"/>
  <c r="AF54" i="8"/>
  <c r="AE22" i="7"/>
  <c r="AE81" i="5"/>
  <c r="AE128" i="3"/>
  <c r="AE19" i="10"/>
  <c r="AE112" i="10"/>
  <c r="AE21" i="11"/>
  <c r="Z19" i="5"/>
  <c r="AE78" i="6"/>
  <c r="AF87" i="3"/>
  <c r="AF86" i="6"/>
  <c r="AE85" i="5"/>
  <c r="AE56" i="8"/>
  <c r="Z37" i="12"/>
  <c r="AF41" i="8"/>
  <c r="Y57" i="10"/>
  <c r="AE58" i="12"/>
  <c r="AF118" i="12"/>
  <c r="AE7" i="8"/>
  <c r="Y31" i="5"/>
  <c r="AE103" i="5"/>
  <c r="AF21" i="12"/>
  <c r="AF76" i="9"/>
  <c r="AE120" i="3"/>
  <c r="Y18" i="8"/>
  <c r="Z55" i="10"/>
  <c r="AE63" i="10"/>
  <c r="Z36" i="4"/>
  <c r="AF10" i="11"/>
  <c r="AE132" i="9"/>
  <c r="AE106" i="3"/>
  <c r="AF129" i="9"/>
  <c r="AF56" i="7"/>
  <c r="AE108" i="10"/>
  <c r="AE71" i="9"/>
  <c r="AE74" i="10"/>
  <c r="AE14" i="7"/>
  <c r="Y14" i="6"/>
  <c r="Y12" i="10"/>
  <c r="AE13" i="12"/>
  <c r="AE90" i="11"/>
  <c r="AE107" i="10"/>
  <c r="AF77" i="4"/>
  <c r="AE102" i="3"/>
  <c r="AE108" i="5"/>
  <c r="AF91" i="6"/>
  <c r="AF29" i="11"/>
  <c r="Z52" i="4"/>
  <c r="Z9" i="9"/>
  <c r="Y10" i="9"/>
  <c r="AF25" i="5"/>
  <c r="AF41" i="12"/>
  <c r="AE22" i="9"/>
  <c r="Z39" i="6"/>
  <c r="Y17" i="7"/>
  <c r="AF87" i="4"/>
  <c r="AE62" i="12"/>
  <c r="Z7" i="11"/>
  <c r="Y26" i="6"/>
  <c r="AE62" i="10"/>
  <c r="AE104" i="11"/>
  <c r="AF67" i="7"/>
  <c r="AF41" i="4"/>
  <c r="AE57" i="10"/>
  <c r="AF46" i="7"/>
  <c r="AE43" i="11"/>
  <c r="AE61" i="12"/>
  <c r="Z20" i="5"/>
  <c r="Y58" i="10"/>
  <c r="AE115" i="10"/>
  <c r="AF109" i="4"/>
  <c r="AF121" i="10"/>
  <c r="AE89" i="10"/>
  <c r="AF102" i="4"/>
  <c r="AE41" i="4"/>
  <c r="Y45" i="11"/>
  <c r="AE23" i="6"/>
  <c r="AF87" i="5"/>
  <c r="AF74" i="9"/>
  <c r="Y56" i="5"/>
  <c r="AF133" i="10"/>
  <c r="Z24" i="10"/>
  <c r="AE37" i="9"/>
  <c r="AE33" i="7"/>
  <c r="AE34" i="8"/>
  <c r="Z40" i="6"/>
  <c r="AF135" i="3"/>
  <c r="AE86" i="9"/>
  <c r="Y18" i="3"/>
  <c r="AF113" i="3"/>
  <c r="Y25" i="3"/>
  <c r="AE34" i="4"/>
  <c r="AE10" i="6"/>
  <c r="AE26" i="11"/>
  <c r="Y13" i="10"/>
  <c r="AF128" i="4"/>
  <c r="Y40" i="9"/>
  <c r="AE71" i="4"/>
  <c r="AE85" i="4"/>
  <c r="AE113" i="6"/>
  <c r="AF130" i="7"/>
  <c r="Z65" i="3"/>
  <c r="AE130" i="5"/>
  <c r="AE23" i="11"/>
  <c r="Z31" i="9"/>
  <c r="AE103" i="8"/>
  <c r="Z49" i="5"/>
  <c r="AF16" i="5"/>
  <c r="AF110" i="8"/>
  <c r="AE67" i="8"/>
  <c r="Y51" i="11"/>
  <c r="AF14" i="3"/>
  <c r="AF117" i="12"/>
  <c r="Y17" i="11"/>
  <c r="AF91" i="11"/>
  <c r="AE105" i="4"/>
  <c r="AE7" i="12"/>
  <c r="AE61" i="11"/>
  <c r="Y49" i="5"/>
  <c r="Y10" i="8"/>
  <c r="AE33" i="10"/>
  <c r="Y15" i="9"/>
  <c r="AE8" i="8"/>
  <c r="AE120" i="6"/>
  <c r="Y27" i="4"/>
  <c r="AE82" i="7"/>
  <c r="AF40" i="12"/>
  <c r="Y46" i="12"/>
  <c r="AE126" i="5"/>
  <c r="AE70" i="9"/>
  <c r="AE24" i="8"/>
  <c r="AE11" i="5"/>
  <c r="AF16" i="3"/>
  <c r="Y46" i="9"/>
  <c r="AF46" i="11"/>
  <c r="AE57" i="3"/>
  <c r="Z51" i="6"/>
  <c r="AE21" i="12"/>
  <c r="Y36" i="12"/>
  <c r="Z27" i="9"/>
  <c r="AE90" i="8"/>
  <c r="AE17" i="5"/>
  <c r="AE34" i="6"/>
  <c r="AE121" i="11"/>
  <c r="AE53" i="11"/>
  <c r="AE12" i="8"/>
  <c r="AF130" i="9"/>
  <c r="AF13" i="8"/>
  <c r="AE125" i="11"/>
  <c r="AF84" i="11"/>
  <c r="AE76" i="8"/>
  <c r="Z66" i="4"/>
  <c r="AE78" i="9"/>
  <c r="AE49" i="11"/>
  <c r="AE13" i="6"/>
  <c r="Z50" i="9"/>
  <c r="AE32" i="9"/>
  <c r="AF12" i="11"/>
  <c r="AF62" i="6"/>
  <c r="Z56" i="7"/>
  <c r="AE110" i="5"/>
  <c r="Y22" i="5"/>
  <c r="Z15" i="9"/>
  <c r="AF9" i="5"/>
  <c r="AF92" i="11"/>
  <c r="AF100" i="11"/>
  <c r="AF112" i="3"/>
  <c r="Y12" i="5"/>
  <c r="AE63" i="11"/>
  <c r="AF124" i="9"/>
  <c r="Y67" i="9"/>
  <c r="AE11" i="7"/>
  <c r="Y65" i="4"/>
  <c r="Z38" i="12"/>
  <c r="AF91" i="3"/>
  <c r="AE52" i="7"/>
  <c r="AF133" i="8"/>
  <c r="AF68" i="9"/>
  <c r="Y56" i="10"/>
  <c r="AF60" i="6"/>
  <c r="AF50" i="12"/>
  <c r="AE18" i="4"/>
  <c r="AE66" i="5"/>
  <c r="Y48" i="3"/>
  <c r="AE101" i="9"/>
  <c r="Y11" i="6"/>
  <c r="AE66" i="10"/>
  <c r="AF105" i="6"/>
  <c r="AE43" i="10"/>
  <c r="Z57" i="9"/>
  <c r="AF118" i="6"/>
  <c r="AE127" i="4"/>
  <c r="AF79" i="12"/>
  <c r="AF89" i="3"/>
  <c r="AF20" i="7"/>
  <c r="AE52" i="6"/>
  <c r="Z44" i="6"/>
  <c r="AF109" i="11"/>
  <c r="Y64" i="10"/>
  <c r="AF75" i="10"/>
  <c r="AF80" i="12"/>
  <c r="AF39" i="12"/>
  <c r="AF119" i="9"/>
  <c r="Z9" i="11"/>
  <c r="Y10" i="4"/>
  <c r="Z47" i="5"/>
  <c r="Z63" i="3"/>
  <c r="AE31" i="8"/>
  <c r="AF43" i="12"/>
  <c r="AE60" i="4"/>
  <c r="AF130" i="11"/>
  <c r="AF118" i="9"/>
  <c r="AE76" i="9"/>
  <c r="AF17" i="11"/>
  <c r="AF86" i="9"/>
  <c r="AF111" i="12"/>
  <c r="Y8" i="9"/>
  <c r="AF15" i="11"/>
  <c r="Z21" i="4"/>
  <c r="AE28" i="6"/>
  <c r="AF8" i="6"/>
  <c r="AF127" i="5"/>
  <c r="Y28" i="5"/>
  <c r="AF65" i="5"/>
  <c r="Y64" i="4"/>
  <c r="AF30" i="3"/>
  <c r="AE108" i="7"/>
  <c r="AE17" i="10"/>
  <c r="AE72" i="10"/>
  <c r="AE32" i="7"/>
  <c r="AF133" i="6"/>
  <c r="AF81" i="4"/>
  <c r="AE10" i="4"/>
  <c r="Z33" i="12"/>
  <c r="AF47" i="9"/>
  <c r="AF114" i="10"/>
  <c r="AE11" i="11"/>
  <c r="AF118" i="3"/>
  <c r="Y25" i="10"/>
  <c r="AF72" i="9"/>
  <c r="Z41" i="7"/>
  <c r="AE31" i="3"/>
  <c r="Z28" i="3"/>
  <c r="AE24" i="4"/>
  <c r="AE62" i="8"/>
  <c r="AF106" i="7"/>
  <c r="AE28" i="11"/>
  <c r="AE26" i="6"/>
  <c r="AE132" i="11"/>
  <c r="AF17" i="4"/>
  <c r="AE104" i="8"/>
  <c r="AE63" i="4"/>
  <c r="AE37" i="5"/>
  <c r="AE128" i="12"/>
  <c r="AF130" i="5"/>
  <c r="AF123" i="11"/>
  <c r="AF77" i="10"/>
  <c r="AE35" i="10"/>
  <c r="Y19" i="12"/>
  <c r="AE24" i="10"/>
  <c r="Y31" i="10"/>
  <c r="AE21" i="9"/>
  <c r="AE89" i="9"/>
  <c r="AF39" i="6"/>
  <c r="AE128" i="8"/>
  <c r="AF122" i="4"/>
  <c r="AE56" i="10"/>
  <c r="AE71" i="10"/>
  <c r="AF57" i="4"/>
  <c r="AF117" i="7"/>
  <c r="Y55" i="3"/>
  <c r="AF79" i="4"/>
  <c r="AE120" i="8"/>
  <c r="AF43" i="6"/>
  <c r="AE82" i="6"/>
  <c r="AF56" i="8"/>
  <c r="AF30" i="9"/>
  <c r="AF14" i="9"/>
  <c r="AE102" i="7"/>
  <c r="AE54" i="3"/>
  <c r="AE101" i="8"/>
  <c r="AE89" i="7"/>
  <c r="AE47" i="12"/>
  <c r="AE117" i="11"/>
  <c r="AF41" i="3"/>
  <c r="AF59" i="12"/>
  <c r="Z15" i="12"/>
  <c r="AF17" i="12"/>
  <c r="Z40" i="9"/>
  <c r="AF57" i="9"/>
  <c r="AF85" i="9"/>
  <c r="AF28" i="9"/>
  <c r="AE89" i="12"/>
  <c r="AE118" i="12"/>
  <c r="AF79" i="5"/>
  <c r="AF130" i="12"/>
  <c r="AF125" i="7"/>
  <c r="Z54" i="7"/>
  <c r="AF116" i="7"/>
  <c r="AE47" i="6"/>
  <c r="AE106" i="6"/>
  <c r="AF36" i="3"/>
  <c r="Y19" i="4"/>
  <c r="AF42" i="9"/>
  <c r="AF76" i="4"/>
  <c r="AE52" i="12"/>
  <c r="AF132" i="9"/>
  <c r="Z15" i="8"/>
  <c r="AF13" i="11"/>
  <c r="AE60" i="11"/>
  <c r="AE69" i="7"/>
  <c r="Z48" i="8"/>
  <c r="AF106" i="11"/>
  <c r="AE128" i="5"/>
  <c r="AE111" i="7"/>
  <c r="Y65" i="7"/>
  <c r="AF100" i="9"/>
  <c r="AF92" i="9"/>
  <c r="AF134" i="6"/>
  <c r="AF128" i="9"/>
  <c r="AE10" i="3"/>
  <c r="Z11" i="10"/>
  <c r="AF65" i="3"/>
  <c r="AF73" i="9"/>
  <c r="AE23" i="4"/>
  <c r="AE126" i="7"/>
  <c r="AF63" i="10"/>
  <c r="AE88" i="9"/>
  <c r="AF129" i="7"/>
  <c r="Y23" i="7"/>
  <c r="AF110" i="10"/>
  <c r="Z59" i="10"/>
  <c r="Z61" i="8"/>
  <c r="Z21" i="9"/>
  <c r="AE80" i="12"/>
  <c r="Y24" i="9"/>
  <c r="AE64" i="10"/>
  <c r="AE17" i="8"/>
  <c r="Y30" i="11"/>
  <c r="AE46" i="4"/>
  <c r="Y62" i="5"/>
  <c r="AE22" i="6"/>
  <c r="AE79" i="11"/>
  <c r="Z43" i="8"/>
  <c r="AE72" i="9"/>
  <c r="AF28" i="6"/>
  <c r="AE123" i="8"/>
  <c r="Z17" i="4"/>
  <c r="AF129" i="3"/>
  <c r="AF7" i="8"/>
  <c r="AF82" i="10"/>
  <c r="Y42" i="9"/>
  <c r="AF42" i="7"/>
  <c r="AF30" i="12"/>
  <c r="AF114" i="5"/>
  <c r="AE83" i="11"/>
  <c r="AE68" i="12"/>
  <c r="Y19" i="11"/>
  <c r="Z38" i="8"/>
  <c r="AF57" i="11"/>
  <c r="AF61" i="12"/>
  <c r="AE63" i="12"/>
  <c r="AE116" i="7"/>
  <c r="AF13" i="12"/>
  <c r="AF79" i="8"/>
  <c r="AE91" i="3"/>
  <c r="Z10" i="12"/>
  <c r="Z44" i="11"/>
  <c r="AF12" i="9"/>
  <c r="AE19" i="7"/>
  <c r="Y57" i="8"/>
  <c r="AE49" i="8"/>
  <c r="AF102" i="11"/>
  <c r="AE131" i="12"/>
  <c r="AE114" i="7"/>
  <c r="AE122" i="9"/>
  <c r="AE128" i="10"/>
  <c r="AF53" i="4"/>
  <c r="AE103" i="4"/>
  <c r="AE29" i="7"/>
  <c r="Z25" i="11"/>
  <c r="AF52" i="10"/>
  <c r="Y26" i="12"/>
  <c r="AF8" i="12"/>
  <c r="AF13" i="10"/>
  <c r="AE106" i="12"/>
  <c r="AF24" i="10"/>
  <c r="AE53" i="10"/>
  <c r="AF39" i="7"/>
  <c r="AE116" i="10"/>
  <c r="AE100" i="12"/>
  <c r="AE92" i="12"/>
  <c r="AF114" i="3"/>
  <c r="AF74" i="11"/>
  <c r="AE68" i="4"/>
  <c r="AF105" i="12"/>
  <c r="Z34" i="10"/>
  <c r="AF21" i="11"/>
  <c r="AF62" i="10"/>
  <c r="Z60" i="12"/>
  <c r="AF27" i="6"/>
  <c r="AF8" i="10"/>
  <c r="AF37" i="3"/>
  <c r="AE116" i="11"/>
  <c r="AE127" i="9"/>
  <c r="Z25" i="10"/>
  <c r="AF60" i="5"/>
  <c r="AE75" i="12"/>
  <c r="AF82" i="4"/>
  <c r="AF26" i="11"/>
  <c r="AE23" i="7"/>
  <c r="AE120" i="5"/>
  <c r="AE28" i="9"/>
  <c r="AF84" i="10"/>
  <c r="Z51" i="9"/>
  <c r="AE123" i="12"/>
  <c r="Y42" i="11"/>
  <c r="Y45" i="7"/>
  <c r="AF43" i="11"/>
  <c r="AE86" i="8"/>
  <c r="AE71" i="12"/>
  <c r="AE27" i="11"/>
  <c r="AF80" i="7"/>
  <c r="AE40" i="7"/>
  <c r="AE34" i="11"/>
  <c r="AF115" i="11"/>
  <c r="AE111" i="3"/>
  <c r="Y52" i="7"/>
  <c r="AE66" i="8"/>
  <c r="AF108" i="12"/>
  <c r="AF9" i="11"/>
  <c r="AE58" i="9"/>
  <c r="AE115" i="7"/>
  <c r="Y59" i="8"/>
  <c r="Y53" i="7"/>
  <c r="AE36" i="11"/>
  <c r="AE84" i="4"/>
  <c r="AE27" i="12"/>
  <c r="AE86" i="11"/>
  <c r="AF49" i="4"/>
  <c r="AF50" i="11"/>
  <c r="AF130" i="3"/>
  <c r="AE9" i="11"/>
  <c r="AF124" i="10"/>
  <c r="AF126" i="8"/>
  <c r="AF46" i="3"/>
  <c r="AF55" i="5"/>
  <c r="AE59" i="9"/>
  <c r="AF81" i="9"/>
  <c r="AF55" i="7"/>
  <c r="AF72" i="3"/>
  <c r="AE106" i="10"/>
  <c r="AE91" i="8"/>
  <c r="Z27" i="5"/>
  <c r="Z31" i="8"/>
  <c r="AF134" i="8"/>
  <c r="AF51" i="5"/>
  <c r="AF110" i="11"/>
  <c r="AE85" i="11"/>
  <c r="Y45" i="8"/>
  <c r="Y28" i="11"/>
  <c r="Z55" i="8"/>
  <c r="AE51" i="7"/>
  <c r="AF107" i="7"/>
  <c r="AF16" i="6"/>
  <c r="AE119" i="12"/>
  <c r="AE130" i="4"/>
  <c r="AE101" i="3"/>
  <c r="AF34" i="11"/>
  <c r="AF46" i="6"/>
  <c r="AE74" i="12"/>
  <c r="AE16" i="4"/>
  <c r="AE92" i="11"/>
  <c r="AE100" i="11"/>
  <c r="AF70" i="12"/>
  <c r="AF103" i="8"/>
  <c r="AE34" i="7"/>
  <c r="Y50" i="8"/>
  <c r="AF128" i="8"/>
  <c r="AF44" i="7"/>
  <c r="AE64" i="12"/>
  <c r="AE43" i="6"/>
  <c r="AE126" i="11"/>
  <c r="AE118" i="10"/>
  <c r="AF120" i="10"/>
  <c r="AE118" i="5"/>
  <c r="AF129" i="6"/>
  <c r="AF106" i="12"/>
  <c r="AE109" i="9"/>
  <c r="Y27" i="10"/>
  <c r="AE42" i="9"/>
  <c r="AF22" i="3"/>
  <c r="AE33" i="9"/>
  <c r="AE102" i="8"/>
  <c r="AF65" i="9"/>
  <c r="AE117" i="4"/>
  <c r="AF64" i="5"/>
  <c r="AF101" i="12"/>
  <c r="AF7" i="7"/>
  <c r="AE63" i="6"/>
  <c r="AE45" i="8"/>
  <c r="AF29" i="7"/>
  <c r="AE39" i="9"/>
  <c r="Z10" i="4"/>
  <c r="AF122" i="10"/>
  <c r="AF120" i="4"/>
  <c r="AF123" i="3"/>
  <c r="AE114" i="8"/>
  <c r="Z27" i="3"/>
  <c r="Y37" i="4"/>
  <c r="AF74" i="4"/>
  <c r="AF38" i="8"/>
  <c r="Z12" i="9"/>
  <c r="AE39" i="10"/>
  <c r="AF16" i="7"/>
  <c r="Z61" i="7"/>
  <c r="AE130" i="3"/>
  <c r="AF32" i="6"/>
  <c r="AE55" i="9"/>
  <c r="Y29" i="9"/>
  <c r="Y9" i="9"/>
  <c r="Y48" i="4"/>
  <c r="AF31" i="12"/>
  <c r="AF73" i="11"/>
  <c r="Y63" i="10"/>
  <c r="AE65" i="8"/>
  <c r="AF24" i="5"/>
  <c r="AF31" i="3"/>
  <c r="Y55" i="10"/>
  <c r="AE33" i="6"/>
  <c r="Z15" i="11"/>
  <c r="Z38" i="6"/>
  <c r="AF38" i="4"/>
  <c r="AE81" i="11"/>
  <c r="Z56" i="5"/>
  <c r="AE100" i="6"/>
  <c r="AE92" i="6"/>
  <c r="AF133" i="9"/>
  <c r="AE48" i="8"/>
  <c r="Z48" i="4"/>
  <c r="AE53" i="3"/>
  <c r="AF37" i="9"/>
  <c r="Y35" i="9"/>
  <c r="AF51" i="10"/>
  <c r="Z28" i="11"/>
  <c r="AE87" i="8"/>
  <c r="Z67" i="8"/>
  <c r="Y52" i="4"/>
  <c r="AE118" i="9"/>
  <c r="AF18" i="11"/>
  <c r="AF20" i="6"/>
  <c r="Z55" i="3"/>
  <c r="Z9" i="7"/>
  <c r="AE53" i="4"/>
  <c r="Y37" i="6"/>
  <c r="AF127" i="8"/>
  <c r="AF67" i="11"/>
  <c r="Z57" i="4"/>
  <c r="Y66" i="10"/>
  <c r="Y23" i="10"/>
  <c r="Z24" i="5"/>
  <c r="Y52" i="5"/>
  <c r="AF125" i="11"/>
  <c r="AF51" i="9"/>
  <c r="AF66" i="6"/>
  <c r="AF55" i="3"/>
  <c r="AF110" i="7"/>
  <c r="Z33" i="4"/>
  <c r="AF126" i="4"/>
  <c r="Z55" i="11"/>
  <c r="AF124" i="8"/>
  <c r="AE89" i="3"/>
  <c r="AE100" i="7"/>
  <c r="AE92" i="7"/>
  <c r="AF21" i="3"/>
  <c r="Z66" i="12"/>
  <c r="AE47" i="5"/>
  <c r="Z34" i="6"/>
  <c r="AF86" i="7"/>
  <c r="AE72" i="4"/>
  <c r="Y33" i="8"/>
  <c r="AE91" i="12"/>
  <c r="AE84" i="6"/>
  <c r="AF60" i="4"/>
  <c r="Y12" i="4"/>
  <c r="Y25" i="8"/>
  <c r="AE35" i="3"/>
  <c r="AE26" i="12"/>
  <c r="AE68" i="7"/>
  <c r="Z48" i="11"/>
  <c r="Y62" i="8"/>
  <c r="Y28" i="12"/>
  <c r="AF122" i="5"/>
  <c r="AE109" i="3"/>
  <c r="AF14" i="11"/>
  <c r="Z41" i="9"/>
  <c r="AF54" i="4"/>
  <c r="AE43" i="3"/>
  <c r="Y45" i="10"/>
  <c r="Z51" i="4"/>
  <c r="Z23" i="3"/>
  <c r="Y65" i="6"/>
  <c r="AF133" i="5"/>
  <c r="AE126" i="6"/>
  <c r="AE135" i="7"/>
  <c r="Y21" i="10"/>
  <c r="Z18" i="6"/>
  <c r="Z42" i="12"/>
  <c r="AE124" i="10"/>
  <c r="AE21" i="8"/>
  <c r="AE43" i="12"/>
  <c r="AF81" i="12"/>
  <c r="AF21" i="7"/>
  <c r="AF71" i="9"/>
  <c r="AE32" i="12"/>
  <c r="Y43" i="3"/>
  <c r="AE48" i="7"/>
  <c r="Y44" i="11"/>
  <c r="AE122" i="8"/>
  <c r="Z27" i="7"/>
  <c r="AE110" i="10"/>
  <c r="Y21" i="11"/>
  <c r="Y67" i="10"/>
  <c r="Z46" i="12"/>
  <c r="AE87" i="11"/>
  <c r="Z27" i="11"/>
  <c r="AF50" i="6"/>
  <c r="AF82" i="7"/>
  <c r="AF113" i="6"/>
  <c r="Z32" i="9"/>
  <c r="AF109" i="10"/>
  <c r="AE91" i="7"/>
  <c r="Y41" i="4"/>
  <c r="AF103" i="6"/>
  <c r="AE130" i="9"/>
  <c r="Z36" i="5"/>
  <c r="AE62" i="4"/>
  <c r="AF25" i="7"/>
  <c r="Y20" i="8"/>
  <c r="AF65" i="4"/>
  <c r="AF62" i="9"/>
  <c r="AF9" i="9"/>
  <c r="Z47" i="9"/>
  <c r="AE135" i="8"/>
  <c r="Y41" i="10"/>
  <c r="AE7" i="5"/>
  <c r="AE15" i="10"/>
  <c r="AE9" i="7"/>
  <c r="Y23" i="4"/>
  <c r="Y55" i="4"/>
  <c r="AF27" i="8"/>
  <c r="AE14" i="5"/>
  <c r="Z52" i="3"/>
  <c r="Y29" i="4"/>
  <c r="AF104" i="3"/>
  <c r="AF107" i="6"/>
  <c r="Y31" i="9"/>
  <c r="Y61" i="12"/>
  <c r="Z29" i="9"/>
  <c r="AF16" i="11"/>
  <c r="AF77" i="12"/>
  <c r="Z22" i="9"/>
  <c r="AE20" i="6"/>
  <c r="AF124" i="6"/>
  <c r="Y56" i="6"/>
  <c r="Y43" i="8"/>
  <c r="AF101" i="8"/>
  <c r="AE112" i="12"/>
  <c r="Y30" i="12"/>
  <c r="AE55" i="8"/>
  <c r="Y27" i="8"/>
  <c r="AF33" i="3"/>
  <c r="AE82" i="4"/>
  <c r="AE13" i="3"/>
  <c r="AE101" i="7"/>
  <c r="Z14" i="9"/>
  <c r="AE61" i="6"/>
  <c r="Y29" i="7"/>
  <c r="AE20" i="3"/>
  <c r="AF123" i="12"/>
  <c r="Y61" i="8"/>
  <c r="Y49" i="6"/>
  <c r="AE73" i="3"/>
  <c r="Y7" i="5"/>
  <c r="AE18" i="11"/>
  <c r="AE102" i="10"/>
  <c r="Y10" i="10"/>
  <c r="Z45" i="6"/>
  <c r="Y52" i="3"/>
  <c r="AF39" i="9"/>
  <c r="Z24" i="4"/>
  <c r="AF42" i="12"/>
  <c r="AF82" i="9"/>
  <c r="AE7" i="6"/>
  <c r="AF63" i="5"/>
  <c r="Y57" i="9"/>
  <c r="AF88" i="11"/>
  <c r="Y22" i="6"/>
  <c r="AF28" i="3"/>
  <c r="Z8" i="11"/>
  <c r="AE17" i="7"/>
  <c r="AE26" i="10"/>
  <c r="AF52" i="11"/>
  <c r="AE42" i="4"/>
  <c r="Y39" i="4"/>
  <c r="AE105" i="6"/>
  <c r="AF78" i="7"/>
  <c r="AF22" i="9"/>
  <c r="Y61" i="6"/>
  <c r="Y43" i="12"/>
  <c r="AE129" i="7"/>
  <c r="AF104" i="6"/>
  <c r="Y53" i="3"/>
  <c r="AF48" i="4"/>
  <c r="Y42" i="10"/>
  <c r="Z67" i="10"/>
  <c r="AE88" i="4"/>
  <c r="Y55" i="12"/>
  <c r="Z67" i="11"/>
  <c r="Y47" i="5"/>
  <c r="AE8" i="12"/>
  <c r="AE84" i="8"/>
  <c r="AE107" i="9"/>
  <c r="Z49" i="4"/>
  <c r="Z48" i="3"/>
  <c r="AE112" i="5"/>
  <c r="Z27" i="10"/>
  <c r="AF104" i="4"/>
  <c r="AE52" i="5"/>
  <c r="AF22" i="12"/>
  <c r="Y22" i="12"/>
  <c r="Y48" i="8"/>
  <c r="AF7" i="4"/>
  <c r="Y18" i="5"/>
  <c r="Y38" i="5"/>
  <c r="Z14" i="8"/>
  <c r="AE71" i="8"/>
  <c r="Z23" i="6"/>
  <c r="AF106" i="3"/>
  <c r="AF75" i="6"/>
  <c r="AF45" i="8"/>
  <c r="Z26" i="4"/>
  <c r="AE60" i="5"/>
  <c r="AE44" i="8"/>
  <c r="AE112" i="7"/>
  <c r="AF11" i="10"/>
  <c r="AE56" i="12"/>
  <c r="AF69" i="3"/>
  <c r="AF29" i="9"/>
  <c r="Y18" i="10"/>
  <c r="AF28" i="12"/>
  <c r="AF24" i="3"/>
  <c r="AE80" i="10"/>
  <c r="AF42" i="8"/>
  <c r="AE78" i="7"/>
  <c r="Z39" i="11"/>
  <c r="AE88" i="6"/>
  <c r="AF47" i="10"/>
  <c r="AF134" i="12"/>
  <c r="AE83" i="6"/>
  <c r="Y33" i="3"/>
  <c r="AF116" i="10"/>
  <c r="AF110" i="12"/>
  <c r="Z18" i="10"/>
  <c r="AE10" i="5"/>
  <c r="AE82" i="12"/>
  <c r="AF11" i="11"/>
  <c r="AE113" i="7"/>
  <c r="Y62" i="3"/>
  <c r="Y42" i="4"/>
  <c r="AF49" i="10"/>
  <c r="Z57" i="11"/>
  <c r="AE41" i="8"/>
  <c r="AE86" i="5"/>
  <c r="AE88" i="10"/>
  <c r="AE116" i="9"/>
  <c r="AE124" i="9"/>
  <c r="AE38" i="6"/>
  <c r="AF102" i="3"/>
  <c r="AE50" i="10"/>
  <c r="AE82" i="5"/>
  <c r="AE88" i="7"/>
  <c r="AE26" i="4"/>
  <c r="AF23" i="9"/>
  <c r="AF80" i="11"/>
  <c r="Y45" i="6"/>
  <c r="AE12" i="11"/>
  <c r="Y31" i="11"/>
  <c r="AE14" i="6"/>
  <c r="Z42" i="10"/>
  <c r="Z35" i="6"/>
  <c r="AF27" i="10"/>
  <c r="AE79" i="3"/>
  <c r="Y44" i="6"/>
  <c r="AE128" i="4"/>
  <c r="AF75" i="3"/>
  <c r="Y43" i="10"/>
  <c r="AE53" i="7"/>
  <c r="AE117" i="12"/>
  <c r="AE14" i="10"/>
  <c r="AF128" i="11"/>
  <c r="AE49" i="3"/>
  <c r="AE133" i="11"/>
  <c r="AE51" i="10"/>
  <c r="Z7" i="8"/>
  <c r="Y37" i="3"/>
  <c r="AF71" i="7"/>
  <c r="Z40" i="10"/>
  <c r="AE45" i="7"/>
  <c r="Y43" i="4"/>
  <c r="AF122" i="8"/>
  <c r="AE60" i="7"/>
  <c r="AF117" i="3"/>
  <c r="Z54" i="6"/>
  <c r="Z43" i="9"/>
  <c r="AE128" i="6"/>
  <c r="Z56" i="3"/>
  <c r="AE113" i="5"/>
  <c r="Z60" i="7"/>
  <c r="AE65" i="6"/>
  <c r="AE135" i="5"/>
  <c r="AE108" i="9"/>
  <c r="Y39" i="10"/>
  <c r="AF105" i="11"/>
  <c r="Y35" i="5"/>
  <c r="AF88" i="5"/>
  <c r="Y61" i="5"/>
  <c r="AF8" i="7"/>
  <c r="Y12" i="11"/>
  <c r="Z62" i="5"/>
  <c r="Z34" i="3"/>
  <c r="Y54" i="10"/>
  <c r="AF85" i="3"/>
  <c r="AE132" i="10"/>
  <c r="AF85" i="11"/>
  <c r="AF103" i="9"/>
  <c r="Z14" i="11"/>
  <c r="AF70" i="3"/>
  <c r="AE111" i="10"/>
  <c r="Y16" i="4"/>
  <c r="AE20" i="5"/>
  <c r="Z13" i="7"/>
  <c r="Z28" i="7"/>
  <c r="Z37" i="3"/>
  <c r="Y16" i="10"/>
  <c r="Y65" i="12"/>
  <c r="Y13" i="9"/>
  <c r="AE110" i="9"/>
  <c r="Z47" i="4"/>
  <c r="Y62" i="7"/>
  <c r="AF7" i="6"/>
  <c r="Z35" i="4"/>
  <c r="Z10" i="3"/>
  <c r="Y49" i="7"/>
  <c r="AE29" i="6"/>
  <c r="AE48" i="11"/>
  <c r="Z15" i="3"/>
  <c r="AF114" i="7"/>
  <c r="AF67" i="9"/>
  <c r="AF109" i="5"/>
  <c r="AF19" i="3"/>
  <c r="Y58" i="3"/>
  <c r="Y7" i="9"/>
  <c r="Z50" i="11"/>
  <c r="Y52" i="6"/>
  <c r="Y59" i="12"/>
  <c r="Y40" i="4"/>
  <c r="AF47" i="6"/>
  <c r="AE121" i="3"/>
  <c r="AE7" i="10"/>
  <c r="AF72" i="5"/>
  <c r="AE33" i="11"/>
  <c r="AF27" i="3"/>
  <c r="AE67" i="5"/>
  <c r="Z47" i="7"/>
  <c r="AF62" i="4"/>
  <c r="AF14" i="4"/>
  <c r="Y31" i="7"/>
  <c r="AF42" i="11"/>
  <c r="Z55" i="5"/>
  <c r="AE129" i="12"/>
  <c r="Y54" i="11"/>
  <c r="AE42" i="5"/>
  <c r="AE54" i="9"/>
  <c r="AE102" i="5"/>
  <c r="Y30" i="4"/>
  <c r="AF115" i="3"/>
  <c r="Z43" i="3"/>
  <c r="AE15" i="5"/>
  <c r="AE43" i="7"/>
  <c r="AF43" i="10"/>
  <c r="AF53" i="11"/>
  <c r="Y38" i="4"/>
  <c r="Z62" i="3"/>
  <c r="Z15" i="6"/>
  <c r="Z40" i="3"/>
  <c r="AF78" i="3"/>
  <c r="Z14" i="12"/>
  <c r="AE66" i="9"/>
  <c r="AE58" i="8"/>
  <c r="Z30" i="8"/>
  <c r="AE29" i="11"/>
  <c r="AF26" i="7"/>
  <c r="AF17" i="5"/>
  <c r="AE12" i="5"/>
  <c r="Z39" i="12"/>
  <c r="AE72" i="5"/>
  <c r="AF41" i="7"/>
  <c r="AE51" i="5"/>
  <c r="AE115" i="8"/>
  <c r="AF51" i="11"/>
  <c r="AF123" i="5"/>
  <c r="AE38" i="10"/>
  <c r="AF119" i="12"/>
  <c r="AE46" i="9"/>
  <c r="Y41" i="3"/>
  <c r="AE14" i="9"/>
  <c r="AE86" i="6"/>
  <c r="AE34" i="10"/>
  <c r="AE7" i="4"/>
  <c r="AF25" i="12"/>
  <c r="AF81" i="11"/>
  <c r="Y60" i="5"/>
  <c r="Y11" i="5"/>
  <c r="AE84" i="11"/>
  <c r="AE59" i="6"/>
  <c r="AF9" i="10"/>
  <c r="AF128" i="7"/>
  <c r="AF121" i="3"/>
  <c r="AF113" i="5"/>
  <c r="AE42" i="12"/>
  <c r="AF33" i="12"/>
  <c r="AF131" i="11"/>
  <c r="AF41" i="9"/>
  <c r="Y22" i="4"/>
  <c r="Z38" i="11"/>
  <c r="AE51" i="6"/>
  <c r="AF45" i="9"/>
  <c r="AE10" i="12"/>
  <c r="Z18" i="4"/>
  <c r="AE50" i="8"/>
  <c r="AF84" i="4"/>
  <c r="Y14" i="12"/>
  <c r="AE30" i="3"/>
  <c r="AE107" i="5"/>
  <c r="AF92" i="8"/>
  <c r="AF100" i="8"/>
  <c r="Z63" i="5"/>
  <c r="AF129" i="10"/>
  <c r="AE59" i="12"/>
  <c r="AE116" i="4"/>
  <c r="Y16" i="11"/>
  <c r="AF56" i="3"/>
  <c r="AE106" i="11"/>
  <c r="Y50" i="9"/>
  <c r="AE22" i="5"/>
  <c r="AF125" i="10"/>
  <c r="AE127" i="8"/>
  <c r="AE130" i="11"/>
  <c r="AE35" i="5"/>
  <c r="AE10" i="7"/>
  <c r="AF87" i="6"/>
  <c r="AE65" i="9"/>
  <c r="AF47" i="12"/>
  <c r="AF78" i="8"/>
  <c r="AE8" i="10"/>
  <c r="AF72" i="11"/>
  <c r="AF133" i="7"/>
  <c r="AF127" i="4"/>
  <c r="AE87" i="9"/>
  <c r="Y62" i="12"/>
  <c r="Z24" i="11"/>
  <c r="AE36" i="8"/>
  <c r="AF121" i="4"/>
  <c r="Z58" i="4"/>
  <c r="AF115" i="5"/>
  <c r="AF49" i="5"/>
  <c r="Y9" i="6"/>
  <c r="AF130" i="8"/>
  <c r="AE19" i="11"/>
  <c r="AF14" i="12"/>
  <c r="Y56" i="12"/>
  <c r="AF40" i="11"/>
  <c r="AE18" i="12"/>
  <c r="Y44" i="12"/>
  <c r="AE27" i="7"/>
  <c r="AF130" i="6"/>
  <c r="AE69" i="9"/>
  <c r="Z58" i="9"/>
  <c r="AF135" i="11"/>
  <c r="Z45" i="12"/>
  <c r="AF89" i="4"/>
  <c r="AE135" i="10"/>
  <c r="AE132" i="5"/>
  <c r="AE115" i="3"/>
  <c r="Y32" i="7"/>
  <c r="AF115" i="10"/>
  <c r="AF10" i="9"/>
  <c r="AF51" i="3"/>
  <c r="AF134" i="11"/>
  <c r="AF34" i="9"/>
  <c r="AE41" i="12"/>
  <c r="AE66" i="4"/>
  <c r="Y50" i="10"/>
  <c r="AE53" i="8"/>
  <c r="AE80" i="11"/>
  <c r="AE36" i="7"/>
  <c r="AE69" i="11"/>
  <c r="AF55" i="6"/>
  <c r="AE117" i="6"/>
  <c r="Z62" i="4"/>
  <c r="AF66" i="9"/>
  <c r="AE75" i="11"/>
  <c r="Z10" i="6"/>
  <c r="AF105" i="10"/>
  <c r="AE17" i="3"/>
  <c r="Y14" i="4"/>
  <c r="AF23" i="12"/>
  <c r="AE24" i="12"/>
  <c r="AE131" i="6"/>
  <c r="AE17" i="6"/>
  <c r="AF10" i="10"/>
  <c r="Y20" i="10"/>
  <c r="Z67" i="3"/>
  <c r="AF20" i="10"/>
  <c r="AF50" i="9"/>
  <c r="AF117" i="4"/>
  <c r="AF124" i="5"/>
  <c r="Y48" i="9"/>
  <c r="AE23" i="10"/>
  <c r="AE62" i="5"/>
  <c r="Z65" i="11"/>
  <c r="AE74" i="9"/>
  <c r="AE57" i="8"/>
  <c r="Y44" i="8"/>
  <c r="Y29" i="5"/>
  <c r="AE103" i="3"/>
  <c r="AE102" i="12"/>
  <c r="AE50" i="5"/>
  <c r="AF19" i="7"/>
  <c r="Z51" i="12"/>
  <c r="AF117" i="9"/>
  <c r="AF132" i="12"/>
  <c r="AE78" i="5"/>
  <c r="AF66" i="5"/>
  <c r="AF86" i="12"/>
  <c r="AE104" i="6"/>
  <c r="AF66" i="7"/>
  <c r="AF8" i="8"/>
  <c r="AE129" i="10"/>
  <c r="AF122" i="9"/>
  <c r="AE55" i="7"/>
  <c r="AE10" i="8"/>
  <c r="Y47" i="6"/>
  <c r="AF47" i="4"/>
  <c r="Z48" i="7"/>
  <c r="AE9" i="10"/>
  <c r="AE16" i="8"/>
  <c r="AE73" i="11"/>
  <c r="AF26" i="12"/>
  <c r="AE122" i="4"/>
  <c r="AE81" i="3"/>
  <c r="AF21" i="9"/>
  <c r="Y41" i="6"/>
  <c r="AE128" i="11"/>
  <c r="AE86" i="12"/>
  <c r="AE45" i="12"/>
  <c r="AE53" i="12"/>
  <c r="AF118" i="11"/>
  <c r="AF69" i="9"/>
  <c r="AF63" i="11"/>
  <c r="AF37" i="8"/>
  <c r="AF119" i="7"/>
  <c r="AE66" i="11"/>
  <c r="AF51" i="12"/>
  <c r="AE121" i="9"/>
  <c r="AE40" i="11"/>
  <c r="AE91" i="5"/>
  <c r="AF104" i="11"/>
  <c r="AF19" i="6"/>
  <c r="AF101" i="9"/>
  <c r="AE125" i="4"/>
  <c r="AE131" i="9"/>
  <c r="AE119" i="5"/>
  <c r="AF10" i="5"/>
  <c r="AF52" i="6"/>
  <c r="AF65" i="12"/>
  <c r="AF12" i="6"/>
  <c r="AF60" i="11"/>
  <c r="AF90" i="12"/>
  <c r="AF72" i="4"/>
  <c r="AF135" i="12"/>
  <c r="AE122" i="6"/>
  <c r="AF63" i="12"/>
  <c r="AE13" i="8"/>
  <c r="Z52" i="9"/>
  <c r="AE32" i="3"/>
  <c r="AE79" i="8"/>
  <c r="AE59" i="8"/>
  <c r="AE66" i="12"/>
  <c r="AF117" i="10"/>
  <c r="AF132" i="7"/>
  <c r="AE36" i="9"/>
  <c r="Z59" i="12"/>
  <c r="Z31" i="5"/>
  <c r="Y67" i="6"/>
  <c r="AE68" i="6"/>
  <c r="AE91" i="10"/>
  <c r="AE42" i="7"/>
  <c r="AE59" i="5"/>
  <c r="Y61" i="4"/>
  <c r="Y31" i="4"/>
  <c r="AE106" i="4"/>
  <c r="Y48" i="7"/>
  <c r="Z18" i="9"/>
  <c r="AF85" i="6"/>
  <c r="AE62" i="3"/>
  <c r="AF38" i="5"/>
  <c r="AE126" i="4"/>
  <c r="AE42" i="3"/>
  <c r="AE132" i="3"/>
  <c r="AE39" i="12"/>
  <c r="AF56" i="6"/>
  <c r="AE58" i="10"/>
  <c r="AF84" i="3"/>
  <c r="Y16" i="6"/>
  <c r="AE132" i="7"/>
  <c r="AE11" i="8"/>
  <c r="Z47" i="8"/>
  <c r="Z15" i="5"/>
  <c r="AE47" i="10"/>
  <c r="AE91" i="9"/>
  <c r="Z55" i="12"/>
  <c r="AE84" i="9"/>
  <c r="AE57" i="4"/>
  <c r="AF90" i="3"/>
  <c r="AF7" i="3"/>
  <c r="AF49" i="8"/>
  <c r="AF60" i="3"/>
  <c r="AF67" i="10"/>
  <c r="AE106" i="8"/>
  <c r="Y40" i="10"/>
  <c r="AF92" i="3"/>
  <c r="AF100" i="3"/>
  <c r="AF101" i="10"/>
  <c r="AF55" i="9"/>
  <c r="AE27" i="8"/>
  <c r="AF108" i="8"/>
  <c r="Z15" i="7"/>
  <c r="AF30" i="6"/>
  <c r="AF84" i="6"/>
  <c r="AF102" i="8"/>
  <c r="AE22" i="8"/>
  <c r="Y17" i="10"/>
  <c r="AF45" i="7"/>
  <c r="AF101" i="5"/>
  <c r="Z17" i="6"/>
  <c r="AE15" i="3"/>
  <c r="AF121" i="12"/>
  <c r="AE16" i="12"/>
  <c r="AE33" i="12"/>
  <c r="Z13" i="9"/>
  <c r="AF29" i="8"/>
  <c r="AE50" i="12"/>
  <c r="Z44" i="9"/>
  <c r="AF14" i="6"/>
  <c r="Y22" i="10"/>
  <c r="AF109" i="12"/>
  <c r="Z14" i="7"/>
  <c r="AE127" i="3"/>
  <c r="AE77" i="11"/>
  <c r="AE56" i="9"/>
  <c r="AE54" i="8"/>
  <c r="Y39" i="7"/>
  <c r="AE31" i="5"/>
  <c r="AE23" i="12"/>
  <c r="Z47" i="12"/>
  <c r="Y26" i="10"/>
  <c r="AF50" i="3"/>
  <c r="AF50" i="8"/>
  <c r="AE72" i="8"/>
  <c r="AF7" i="10"/>
  <c r="AE50" i="6"/>
  <c r="AE109" i="6"/>
  <c r="Z37" i="6"/>
  <c r="Y35" i="7"/>
  <c r="Z13" i="10"/>
  <c r="AF61" i="7"/>
  <c r="AF74" i="12"/>
  <c r="AF48" i="11"/>
  <c r="AE116" i="12"/>
  <c r="AE55" i="12"/>
  <c r="AE29" i="8"/>
  <c r="Y59" i="7"/>
  <c r="AF135" i="4"/>
  <c r="Z9" i="8"/>
  <c r="AF106" i="4"/>
  <c r="AE24" i="11"/>
  <c r="AF17" i="7"/>
  <c r="AF37" i="10"/>
  <c r="AE71" i="11"/>
  <c r="AF60" i="8"/>
  <c r="Y14" i="5"/>
  <c r="AE121" i="4"/>
  <c r="AE79" i="6"/>
  <c r="Y45" i="3"/>
  <c r="Z14" i="3"/>
  <c r="AF128" i="12"/>
  <c r="AE105" i="3"/>
  <c r="AF76" i="7"/>
  <c r="AF40" i="6"/>
  <c r="AF54" i="9"/>
  <c r="AF79" i="6"/>
  <c r="Z11" i="12"/>
  <c r="AE127" i="11"/>
  <c r="AF116" i="5"/>
  <c r="AE28" i="4"/>
  <c r="AE38" i="3"/>
  <c r="Z45" i="10"/>
  <c r="AF103" i="12"/>
  <c r="Y18" i="12"/>
  <c r="AE83" i="12"/>
  <c r="Z16" i="5"/>
  <c r="Z20" i="6"/>
  <c r="Y32" i="12"/>
  <c r="AF82" i="6"/>
  <c r="Y46" i="4"/>
  <c r="AF126" i="9"/>
  <c r="AE65" i="11"/>
  <c r="Y28" i="7"/>
  <c r="AE39" i="4"/>
  <c r="AF48" i="5"/>
  <c r="AE39" i="7"/>
  <c r="Y66" i="6"/>
  <c r="Y38" i="10"/>
  <c r="AF79" i="11"/>
  <c r="AE57" i="12"/>
  <c r="AF115" i="9"/>
  <c r="AE14" i="11"/>
  <c r="AE62" i="7"/>
  <c r="AE131" i="5"/>
  <c r="AF22" i="11"/>
  <c r="AF121" i="6"/>
  <c r="AF74" i="3"/>
  <c r="Z8" i="3"/>
  <c r="AF38" i="10"/>
  <c r="Z20" i="7"/>
  <c r="AE54" i="6"/>
  <c r="Z10" i="10"/>
  <c r="AF30" i="7"/>
  <c r="AF32" i="5"/>
  <c r="AE101" i="12"/>
  <c r="AE109" i="12"/>
  <c r="AE79" i="10"/>
  <c r="Z57" i="8"/>
  <c r="AF12" i="12"/>
  <c r="AF123" i="7"/>
  <c r="AE28" i="8"/>
  <c r="AF109" i="3"/>
  <c r="AF107" i="10"/>
  <c r="AF25" i="4"/>
  <c r="AE72" i="12"/>
  <c r="AE109" i="7"/>
  <c r="Y21" i="5"/>
  <c r="AF73" i="10"/>
  <c r="Z28" i="8"/>
  <c r="AE44" i="6"/>
  <c r="AF102" i="6"/>
  <c r="AE101" i="10"/>
  <c r="Y53" i="4"/>
  <c r="AF43" i="9"/>
  <c r="AE125" i="10"/>
  <c r="Z53" i="4"/>
  <c r="AE104" i="5"/>
  <c r="Z64" i="6"/>
  <c r="Z13" i="12"/>
  <c r="AE36" i="12"/>
  <c r="AF14" i="10"/>
  <c r="AF104" i="7"/>
  <c r="AE54" i="11"/>
  <c r="Z8" i="8"/>
  <c r="AF56" i="12"/>
  <c r="AE41" i="11"/>
  <c r="AF111" i="9"/>
  <c r="AF81" i="10"/>
  <c r="AE31" i="12"/>
  <c r="AF31" i="11"/>
  <c r="AE33" i="4"/>
  <c r="AE63" i="7"/>
  <c r="Y49" i="12"/>
  <c r="AF78" i="11"/>
  <c r="AE129" i="11"/>
  <c r="AE9" i="9"/>
  <c r="AE60" i="8"/>
  <c r="AE107" i="12"/>
  <c r="AF125" i="3"/>
  <c r="Z50" i="6"/>
  <c r="AF64" i="12"/>
  <c r="Z33" i="9"/>
  <c r="AF120" i="12"/>
  <c r="Y21" i="8"/>
  <c r="AF71" i="4"/>
  <c r="Y36" i="5"/>
  <c r="AE92" i="4"/>
  <c r="AE100" i="4"/>
  <c r="AE68" i="10"/>
  <c r="AF124" i="11"/>
  <c r="AE109" i="4"/>
  <c r="Y31" i="6"/>
  <c r="AF80" i="3"/>
  <c r="Y25" i="5"/>
  <c r="AE118" i="3"/>
  <c r="AE52" i="10"/>
  <c r="AF17" i="9"/>
  <c r="AF133" i="11"/>
  <c r="AE115" i="9"/>
  <c r="Y57" i="11"/>
  <c r="AF24" i="6"/>
  <c r="AE114" i="11"/>
  <c r="Z64" i="3"/>
  <c r="AE20" i="10"/>
  <c r="AF58" i="12"/>
  <c r="AF78" i="9"/>
  <c r="AF66" i="4"/>
  <c r="AF59" i="9"/>
  <c r="AE132" i="6"/>
  <c r="AF53" i="12"/>
  <c r="Z34" i="4"/>
  <c r="AE21" i="3"/>
  <c r="AF64" i="11"/>
  <c r="AF22" i="5"/>
  <c r="AE43" i="8"/>
  <c r="AF51" i="7"/>
  <c r="AE62" i="9"/>
  <c r="AE63" i="8"/>
  <c r="AE69" i="12"/>
  <c r="AF73" i="12"/>
  <c r="AF90" i="11"/>
  <c r="Z54" i="8"/>
  <c r="Z16" i="10"/>
  <c r="AE9" i="8"/>
  <c r="Y48" i="6"/>
  <c r="AE106" i="5"/>
  <c r="Y55" i="11"/>
  <c r="AE133" i="5"/>
  <c r="AF42" i="6"/>
  <c r="AF11" i="12"/>
  <c r="AF58" i="3"/>
  <c r="AE70" i="10"/>
  <c r="AE41" i="10"/>
  <c r="AE77" i="4"/>
  <c r="AE40" i="3"/>
  <c r="AE76" i="7"/>
  <c r="Y7" i="12"/>
  <c r="AE60" i="12"/>
  <c r="AE82" i="10"/>
  <c r="AE36" i="10"/>
  <c r="AE30" i="9"/>
  <c r="AE15" i="4"/>
  <c r="AF27" i="7"/>
  <c r="AE123" i="4"/>
  <c r="AE7" i="7"/>
  <c r="AF125" i="8"/>
  <c r="Z37" i="5"/>
  <c r="AE28" i="3"/>
  <c r="AF23" i="11"/>
  <c r="AE16" i="9"/>
  <c r="AF18" i="9"/>
  <c r="AF119" i="10"/>
  <c r="AE39" i="3"/>
  <c r="Z49" i="3"/>
  <c r="AE27" i="5"/>
  <c r="Y28" i="4"/>
  <c r="AE23" i="9"/>
  <c r="AE9" i="12"/>
  <c r="AE27" i="6"/>
  <c r="Z37" i="10"/>
  <c r="AE76" i="11"/>
  <c r="AE17" i="9"/>
  <c r="AE34" i="12"/>
  <c r="AE112" i="9"/>
  <c r="AE80" i="3"/>
  <c r="AF53" i="7"/>
  <c r="AE80" i="4"/>
  <c r="AE36" i="5"/>
  <c r="AE113" i="12"/>
  <c r="AF77" i="5"/>
  <c r="AE126" i="12"/>
  <c r="AE18" i="8"/>
  <c r="AF69" i="7"/>
  <c r="AF56" i="11"/>
  <c r="AE70" i="7"/>
  <c r="AE68" i="8"/>
  <c r="AF83" i="12"/>
  <c r="AF126" i="12"/>
  <c r="AE73" i="12"/>
  <c r="Y61" i="7"/>
  <c r="AE81" i="12"/>
  <c r="AF39" i="4"/>
  <c r="AE18" i="9"/>
  <c r="AE49" i="5"/>
  <c r="AF76" i="12"/>
  <c r="Y67" i="12"/>
  <c r="AF131" i="7"/>
  <c r="AE123" i="11"/>
  <c r="AE89" i="5"/>
  <c r="Z15" i="4"/>
  <c r="AE80" i="7"/>
  <c r="Z21" i="12"/>
  <c r="Y63" i="3"/>
  <c r="AE89" i="11"/>
  <c r="AE59" i="11"/>
  <c r="AE127" i="12"/>
  <c r="AF48" i="9"/>
  <c r="Z48" i="6"/>
  <c r="AF91" i="10"/>
  <c r="AE126" i="8"/>
  <c r="AE44" i="7"/>
  <c r="AF83" i="5"/>
  <c r="AF65" i="10"/>
  <c r="AE70" i="12"/>
  <c r="AF62" i="12"/>
  <c r="AF135" i="10"/>
  <c r="Z46" i="6"/>
  <c r="AF19" i="5"/>
  <c r="AE124" i="11"/>
  <c r="AF17" i="10"/>
  <c r="AE133" i="3"/>
  <c r="AF86" i="8"/>
  <c r="AE117" i="8"/>
  <c r="AF36" i="12"/>
  <c r="AE10" i="10"/>
  <c r="AE14" i="12"/>
  <c r="AE68" i="11"/>
  <c r="Z49" i="8"/>
  <c r="Y28" i="10"/>
  <c r="AE83" i="3"/>
  <c r="AF29" i="6"/>
  <c r="AE131" i="8"/>
  <c r="AF36" i="11"/>
  <c r="AF134" i="9"/>
  <c r="Y65" i="3"/>
  <c r="AF48" i="12"/>
  <c r="Y67" i="8"/>
  <c r="AF21" i="6"/>
  <c r="AF43" i="4"/>
  <c r="AF31" i="5"/>
  <c r="AE79" i="7"/>
  <c r="AF58" i="4"/>
  <c r="AE74" i="8"/>
  <c r="AE63" i="5"/>
  <c r="AE12" i="12"/>
  <c r="Y38" i="3"/>
  <c r="AE119" i="6"/>
  <c r="AF92" i="5"/>
  <c r="AF100" i="5"/>
  <c r="AE111" i="6"/>
  <c r="AF52" i="12"/>
  <c r="AF18" i="4"/>
  <c r="AF61" i="9"/>
  <c r="AF67" i="6"/>
  <c r="AE13" i="9"/>
  <c r="AE32" i="11"/>
  <c r="Z16" i="8"/>
  <c r="AE25" i="12"/>
  <c r="AE48" i="6"/>
  <c r="AF48" i="8"/>
  <c r="AE134" i="7"/>
  <c r="AF35" i="9"/>
  <c r="AF40" i="8"/>
  <c r="AF44" i="9"/>
  <c r="AF15" i="9"/>
  <c r="AF52" i="3"/>
  <c r="AE58" i="5"/>
  <c r="Y21" i="7"/>
  <c r="AF117" i="11"/>
  <c r="AE61" i="8"/>
  <c r="AE44" i="10"/>
  <c r="AF113" i="9"/>
  <c r="AE40" i="6"/>
  <c r="AE60" i="3"/>
  <c r="AE47" i="3"/>
  <c r="AF126" i="11"/>
  <c r="AE126" i="9"/>
  <c r="AF58" i="7"/>
  <c r="AE28" i="12"/>
  <c r="AE13" i="10"/>
  <c r="AE102" i="9"/>
  <c r="AE67" i="7"/>
  <c r="AE26" i="8"/>
  <c r="AE20" i="8"/>
  <c r="AE50" i="7"/>
  <c r="AF39" i="3"/>
  <c r="AF49" i="9"/>
  <c r="AE116" i="5"/>
  <c r="AF61" i="8"/>
  <c r="AE21" i="5"/>
  <c r="AF58" i="11"/>
  <c r="AF51" i="4"/>
  <c r="AF57" i="12"/>
  <c r="AF20" i="12"/>
  <c r="Y40" i="3"/>
  <c r="Z36" i="3"/>
  <c r="AE122" i="3"/>
  <c r="AF10" i="7"/>
  <c r="AF35" i="7"/>
  <c r="AE77" i="5"/>
  <c r="AE9" i="5"/>
  <c r="AF53" i="8"/>
  <c r="AF48" i="7"/>
  <c r="AE29" i="12"/>
  <c r="Z50" i="4"/>
  <c r="AF103" i="4"/>
  <c r="AE35" i="9"/>
  <c r="AF30" i="4"/>
  <c r="AE69" i="10"/>
  <c r="AE109" i="5"/>
  <c r="AE59" i="3"/>
  <c r="AE37" i="10"/>
  <c r="AE109" i="8"/>
  <c r="AE105" i="11"/>
  <c r="AE134" i="12"/>
  <c r="AF36" i="10"/>
  <c r="AE134" i="11"/>
  <c r="AF29" i="10"/>
  <c r="AF126" i="10"/>
  <c r="AE31" i="11"/>
  <c r="AE37" i="6"/>
  <c r="AF112" i="12"/>
  <c r="AE59" i="7"/>
  <c r="AE49" i="6"/>
  <c r="AF19" i="9"/>
  <c r="AE49" i="9"/>
  <c r="AE11" i="12"/>
  <c r="AE120" i="12"/>
  <c r="AE55" i="10"/>
  <c r="AF107" i="11"/>
  <c r="AE129" i="6"/>
  <c r="AF71" i="11"/>
  <c r="AF68" i="12"/>
  <c r="AF24" i="8"/>
  <c r="Z33" i="10"/>
  <c r="Z25" i="4"/>
  <c r="AE24" i="9"/>
  <c r="AF110" i="3"/>
  <c r="AF45" i="3"/>
  <c r="Y40" i="11"/>
  <c r="Z22" i="3"/>
  <c r="AE65" i="12"/>
  <c r="AF133" i="12"/>
  <c r="AE25" i="5"/>
  <c r="AE114" i="9"/>
  <c r="AE83" i="8"/>
  <c r="AF135" i="8"/>
  <c r="AF59" i="5"/>
  <c r="AF8" i="5"/>
  <c r="AE37" i="7"/>
  <c r="AE129" i="5"/>
  <c r="Y19" i="6"/>
  <c r="AF15" i="6"/>
  <c r="AE29" i="9"/>
  <c r="AF90" i="5"/>
  <c r="AF75" i="8"/>
  <c r="AF102" i="10"/>
  <c r="AF108" i="11"/>
  <c r="AF30" i="10"/>
  <c r="AF117" i="8"/>
  <c r="AF24" i="11"/>
  <c r="AF27" i="9"/>
  <c r="AE108" i="4"/>
  <c r="AE70" i="11"/>
  <c r="AF58" i="6"/>
  <c r="AE70" i="6"/>
  <c r="Z61" i="9"/>
  <c r="AF104" i="8"/>
  <c r="AE17" i="12"/>
  <c r="AF18" i="10"/>
  <c r="AF136" i="5" l="1"/>
  <c r="AF138" i="5" s="1"/>
  <c r="AE136" i="4"/>
  <c r="AE138" i="4" s="1"/>
  <c r="AF93" i="3"/>
  <c r="AF95" i="3" s="1"/>
  <c r="Z69" i="8"/>
  <c r="Z70" i="8" s="1"/>
  <c r="AF93" i="4"/>
  <c r="AF95" i="4" s="1"/>
  <c r="AE136" i="7"/>
  <c r="AE138" i="7" s="1"/>
  <c r="AF136" i="9"/>
  <c r="AF138" i="9" s="1"/>
  <c r="AE93" i="12"/>
  <c r="AE95" i="12" s="1"/>
  <c r="AF93" i="9"/>
  <c r="AF95" i="9" s="1"/>
  <c r="Y69" i="6"/>
  <c r="Y70" i="6" s="1"/>
  <c r="Z69" i="3"/>
  <c r="Z70" i="3" s="1"/>
  <c r="Z69" i="4"/>
  <c r="Z70" i="4" s="1"/>
  <c r="Z69" i="12"/>
  <c r="Z70" i="12" s="1"/>
  <c r="AF136" i="4"/>
  <c r="AF138" i="4" s="1"/>
  <c r="Y69" i="7"/>
  <c r="Y70" i="7" s="1"/>
  <c r="Y69" i="5"/>
  <c r="Y70" i="5" s="1"/>
  <c r="Y69" i="3"/>
  <c r="Y70" i="3" s="1"/>
  <c r="Y69" i="10"/>
  <c r="Y70" i="10" s="1"/>
  <c r="Y69" i="4"/>
  <c r="Y70" i="4" s="1"/>
  <c r="AF136" i="6"/>
  <c r="AF138" i="6" s="1"/>
  <c r="AE136" i="3"/>
  <c r="AE138" i="3" s="1"/>
  <c r="AE136" i="5"/>
  <c r="AE138" i="5" s="1"/>
  <c r="Y69" i="8"/>
  <c r="Y70" i="8" s="1"/>
  <c r="AE93" i="3"/>
  <c r="AE95" i="3" s="1"/>
  <c r="AF136" i="12"/>
  <c r="AF138" i="12" s="1"/>
  <c r="Y69" i="11"/>
  <c r="Y70" i="11" s="1"/>
  <c r="Z69" i="6"/>
  <c r="Z70" i="6" s="1"/>
  <c r="Z69" i="10"/>
  <c r="Z70" i="10" s="1"/>
  <c r="AF136" i="8"/>
  <c r="AF138" i="8" s="1"/>
  <c r="Y69" i="9"/>
  <c r="Y70" i="9" s="1"/>
  <c r="AF93" i="6"/>
  <c r="AF95" i="6" s="1"/>
  <c r="AF93" i="7"/>
  <c r="AF95" i="7" s="1"/>
  <c r="AE136" i="12"/>
  <c r="AE138" i="12" s="1"/>
  <c r="AE93" i="8"/>
  <c r="AE95" i="8" s="1"/>
  <c r="AF93" i="5"/>
  <c r="AF95" i="5" s="1"/>
  <c r="AF136" i="10"/>
  <c r="AF138" i="10" s="1"/>
  <c r="Z69" i="7"/>
  <c r="Z70" i="7" s="1"/>
  <c r="Z69" i="5"/>
  <c r="Z70" i="5" s="1"/>
  <c r="AE136" i="8"/>
  <c r="AE138" i="8" s="1"/>
  <c r="AF93" i="12"/>
  <c r="AF95" i="12" s="1"/>
  <c r="Z69" i="9"/>
  <c r="Z70" i="9" s="1"/>
  <c r="AF136" i="3"/>
  <c r="AF138" i="3" s="1"/>
  <c r="AE93" i="4"/>
  <c r="AE95" i="4" s="1"/>
  <c r="AE136" i="6"/>
  <c r="AE138" i="6" s="1"/>
  <c r="AE93" i="7"/>
  <c r="AE95" i="7" s="1"/>
  <c r="Y69" i="12"/>
  <c r="Y70" i="12" s="1"/>
  <c r="AF93" i="10"/>
  <c r="AF95" i="10" s="1"/>
  <c r="AE93" i="10"/>
  <c r="AE95" i="10" s="1"/>
  <c r="AE93" i="6"/>
  <c r="AE95" i="6" s="1"/>
  <c r="AE93" i="5"/>
  <c r="AE95" i="5" s="1"/>
  <c r="AE136" i="11"/>
  <c r="AE138" i="11" s="1"/>
  <c r="AF93" i="8"/>
  <c r="AF95" i="8" s="1"/>
  <c r="AF136" i="11"/>
  <c r="AF138" i="11" s="1"/>
  <c r="Z69" i="11"/>
  <c r="Z70" i="11" s="1"/>
  <c r="AF136" i="7"/>
  <c r="AF138" i="7" s="1"/>
  <c r="AF93" i="11"/>
  <c r="AF95" i="11" s="1"/>
  <c r="AE136" i="9"/>
  <c r="AE138" i="9" s="1"/>
  <c r="AE136" i="10"/>
  <c r="AE138" i="10" s="1"/>
  <c r="AE93" i="11"/>
  <c r="AE95" i="11" s="1"/>
  <c r="AE93" i="9"/>
  <c r="AE95" i="9" s="1"/>
</calcChain>
</file>

<file path=xl/sharedStrings.xml><?xml version="1.0" encoding="utf-8"?>
<sst xmlns="http://schemas.openxmlformats.org/spreadsheetml/2006/main" count="906" uniqueCount="158">
  <si>
    <t>Table I -Relative Erythmal Effectiveness</t>
    <phoneticPr fontId="1" type="noConversion"/>
  </si>
  <si>
    <t>nm</t>
  </si>
  <si>
    <t>nm</t>
    <phoneticPr fontId="1" type="noConversion"/>
  </si>
  <si>
    <t>response</t>
    <phoneticPr fontId="1" type="noConversion"/>
  </si>
  <si>
    <r>
      <t>W/cm</t>
    </r>
    <r>
      <rPr>
        <vertAlign val="superscript"/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2"/>
        <scheme val="minor"/>
      </rPr>
      <t>/nm</t>
    </r>
    <phoneticPr fontId="1" type="noConversion"/>
  </si>
  <si>
    <t>Table III - Precision and Bias Study Data</t>
    <phoneticPr fontId="1" type="noConversion"/>
  </si>
  <si>
    <t>Fabric</t>
    <phoneticPr fontId="1" type="noConversion"/>
  </si>
  <si>
    <t>Average UPF</t>
    <phoneticPr fontId="1" type="noConversion"/>
  </si>
  <si>
    <t xml:space="preserve">Standard Deviation </t>
    <phoneticPr fontId="1" type="noConversion"/>
  </si>
  <si>
    <t xml:space="preserve">Sample Variance </t>
    <phoneticPr fontId="1" type="noConversion"/>
  </si>
  <si>
    <t>95% Confidence</t>
    <phoneticPr fontId="1" type="noConversion"/>
  </si>
  <si>
    <t>D</t>
    <phoneticPr fontId="1" type="noConversion"/>
  </si>
  <si>
    <t>G</t>
    <phoneticPr fontId="1" type="noConversion"/>
  </si>
  <si>
    <t>J</t>
    <phoneticPr fontId="1" type="noConversion"/>
  </si>
  <si>
    <t>N</t>
    <phoneticPr fontId="1" type="noConversion"/>
  </si>
  <si>
    <t>O</t>
    <phoneticPr fontId="1" type="noConversion"/>
  </si>
  <si>
    <t>R</t>
    <phoneticPr fontId="1" type="noConversion"/>
  </si>
  <si>
    <t>Dry</t>
    <phoneticPr fontId="1" type="noConversion"/>
  </si>
  <si>
    <t>140% WPU</t>
    <phoneticPr fontId="1" type="noConversion"/>
  </si>
  <si>
    <t>ATTCC 183-2014</t>
    <phoneticPr fontId="1" type="noConversion"/>
  </si>
  <si>
    <t>波长(nm)</t>
    <phoneticPr fontId="9" type="noConversion"/>
  </si>
  <si>
    <t>Formula</t>
  </si>
  <si>
    <t>Ultraviolet Protection Factor</t>
    <phoneticPr fontId="1" type="noConversion"/>
  </si>
  <si>
    <t>UPF=</t>
    <phoneticPr fontId="3" type="noConversion"/>
  </si>
  <si>
    <r>
      <rPr>
        <sz val="12"/>
        <rFont val="Times New Roman"/>
        <family val="1"/>
      </rPr>
      <t>ΣE</t>
    </r>
    <r>
      <rPr>
        <sz val="11"/>
        <color theme="1"/>
        <rFont val="Times New Roman"/>
        <family val="1"/>
      </rPr>
      <t>(</t>
    </r>
    <r>
      <rPr>
        <sz val="12"/>
        <rFont val="Times New Roman"/>
        <family val="1"/>
      </rPr>
      <t>λ</t>
    </r>
    <r>
      <rPr>
        <sz val="11"/>
        <color theme="1"/>
        <rFont val="Times New Roman"/>
        <family val="1"/>
      </rPr>
      <t>)S(</t>
    </r>
    <r>
      <rPr>
        <sz val="12"/>
        <rFont val="Times New Roman"/>
        <family val="1"/>
      </rPr>
      <t>λ</t>
    </r>
    <r>
      <rPr>
        <sz val="11"/>
        <color theme="1"/>
        <rFont val="Times New Roman"/>
        <family val="1"/>
      </rPr>
      <t>)T(λ)</t>
    </r>
    <r>
      <rPr>
        <sz val="12"/>
        <rFont val="Times New Roman"/>
        <family val="1"/>
      </rPr>
      <t>Δλ</t>
    </r>
    <phoneticPr fontId="1" type="noConversion"/>
  </si>
  <si>
    <t>Wavelength</t>
  </si>
  <si>
    <t>Experimental</t>
  </si>
  <si>
    <t>Value</t>
  </si>
  <si>
    <t xml:space="preserve">Relative Erythmal </t>
    <phoneticPr fontId="1" type="noConversion"/>
  </si>
  <si>
    <r>
      <t>Table II - Solar  Spectral Irradiance of Noonday, July 3, Sunlight, Albuquerque, NM (S</t>
    </r>
    <r>
      <rPr>
        <vertAlign val="subscript"/>
        <sz val="11"/>
        <color theme="1"/>
        <rFont val="等线"/>
        <family val="1"/>
        <charset val="134"/>
      </rPr>
      <t>λ</t>
    </r>
    <r>
      <rPr>
        <sz val="11"/>
        <color theme="1"/>
        <rFont val="等线"/>
        <family val="2"/>
        <scheme val="minor"/>
      </rPr>
      <t>)</t>
    </r>
    <r>
      <rPr>
        <vertAlign val="superscript"/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2"/>
        <scheme val="minor"/>
      </rPr>
      <t xml:space="preserve"> </t>
    </r>
    <phoneticPr fontId="1" type="noConversion"/>
  </si>
  <si>
    <t>Solar  Spectral</t>
    <phoneticPr fontId="1" type="noConversion"/>
  </si>
  <si>
    <t>ΣE(λ)S(λ)=</t>
    <phoneticPr fontId="1" type="noConversion"/>
  </si>
  <si>
    <t>ΣE(λ)S(λ)T(λ)=</t>
    <phoneticPr fontId="1" type="noConversion"/>
  </si>
  <si>
    <t xml:space="preserve">ΣE(λ)S(λ)Δλ </t>
    <phoneticPr fontId="1" type="noConversion"/>
  </si>
  <si>
    <t>UPF=</t>
    <phoneticPr fontId="1" type="noConversion"/>
  </si>
  <si>
    <t>Effectiveness E(λ)</t>
    <phoneticPr fontId="1" type="noConversion"/>
  </si>
  <si>
    <t>Irradiance S(λ)</t>
    <phoneticPr fontId="1" type="noConversion"/>
  </si>
  <si>
    <t>Tuv =</t>
  </si>
  <si>
    <r>
      <rPr>
        <u/>
        <sz val="12"/>
        <rFont val="Calibri"/>
        <family val="3"/>
        <charset val="161"/>
      </rPr>
      <t>Σ</t>
    </r>
    <r>
      <rPr>
        <u/>
        <sz val="12"/>
        <rFont val="宋体"/>
        <family val="3"/>
        <charset val="134"/>
      </rPr>
      <t>T</t>
    </r>
    <r>
      <rPr>
        <u/>
        <sz val="12"/>
        <rFont val="Times New Roman"/>
        <family val="1"/>
      </rPr>
      <t>(</t>
    </r>
    <r>
      <rPr>
        <u/>
        <sz val="12"/>
        <rFont val="Calibri"/>
        <family val="3"/>
        <charset val="161"/>
      </rPr>
      <t>λ</t>
    </r>
    <r>
      <rPr>
        <u/>
        <sz val="12"/>
        <rFont val="Times New Roman"/>
        <family val="1"/>
      </rPr>
      <t>)</t>
    </r>
    <r>
      <rPr>
        <u/>
        <sz val="12"/>
        <rFont val="Calibri"/>
        <family val="3"/>
        <charset val="161"/>
      </rPr>
      <t>Δλ</t>
    </r>
    <phoneticPr fontId="1" type="noConversion"/>
  </si>
  <si>
    <r>
      <rPr>
        <sz val="12"/>
        <rFont val="Calibri"/>
        <family val="3"/>
        <charset val="161"/>
      </rPr>
      <t>ΣΔλ</t>
    </r>
    <phoneticPr fontId="1" type="noConversion"/>
  </si>
  <si>
    <t>ΣT(λ)=</t>
    <phoneticPr fontId="1" type="noConversion"/>
  </si>
  <si>
    <t>Σ=</t>
    <phoneticPr fontId="1" type="noConversion"/>
  </si>
  <si>
    <r>
      <t>T(UV-A)</t>
    </r>
    <r>
      <rPr>
        <i/>
        <vertAlign val="subscript"/>
        <sz val="12"/>
        <rFont val="Times New Roman"/>
        <family val="1"/>
      </rPr>
      <t>AV</t>
    </r>
    <r>
      <rPr>
        <sz val="12"/>
        <rFont val="Times New Roman"/>
        <family val="1"/>
      </rPr>
      <t xml:space="preserve"> =</t>
    </r>
    <phoneticPr fontId="1" type="noConversion"/>
  </si>
  <si>
    <t>315 to 400 nm UVA</t>
    <phoneticPr fontId="3" type="noConversion"/>
  </si>
  <si>
    <t>280-315nm UVB</t>
  </si>
  <si>
    <r>
      <t>T(UV-B)</t>
    </r>
    <r>
      <rPr>
        <i/>
        <vertAlign val="subscript"/>
        <sz val="12"/>
        <rFont val="Times New Roman"/>
        <family val="1"/>
      </rPr>
      <t>AV</t>
    </r>
    <r>
      <rPr>
        <sz val="12"/>
        <rFont val="Times New Roman"/>
        <family val="1"/>
      </rPr>
      <t xml:space="preserve"> =</t>
    </r>
    <phoneticPr fontId="1" type="noConversion"/>
  </si>
  <si>
    <t>Raw DATA</t>
    <phoneticPr fontId="3" type="noConversion"/>
  </si>
  <si>
    <t>干布1</t>
    <phoneticPr fontId="9" type="noConversion"/>
  </si>
  <si>
    <t>干布2</t>
    <phoneticPr fontId="9" type="noConversion"/>
  </si>
  <si>
    <t>干布3</t>
    <phoneticPr fontId="9" type="noConversion"/>
  </si>
  <si>
    <t>湿布1</t>
    <phoneticPr fontId="9" type="noConversion"/>
  </si>
  <si>
    <t>湿布2</t>
    <phoneticPr fontId="9" type="noConversion"/>
  </si>
  <si>
    <t>湿布3</t>
    <phoneticPr fontId="9" type="noConversion"/>
  </si>
  <si>
    <t>粘贴数据→</t>
    <phoneticPr fontId="1" type="noConversion"/>
  </si>
  <si>
    <t>Formula</t>
    <phoneticPr fontId="1" type="noConversion"/>
  </si>
  <si>
    <t>CHEMICAL DIVISION</t>
  </si>
  <si>
    <t>TRANSMITTANCE OR BLOCKING OF ULTRAVIOLET RADIATION THROUGH TEXTILE FABRICS</t>
  </si>
  <si>
    <t>Report No.</t>
  </si>
  <si>
    <t>(66___)</t>
  </si>
  <si>
    <t>In.Due Date:</t>
  </si>
  <si>
    <t>Prepared by:</t>
  </si>
  <si>
    <t>Method:</t>
  </si>
  <si>
    <t>Sample No.</t>
  </si>
  <si>
    <t>Sample description</t>
  </si>
  <si>
    <t>Dry Evaluation</t>
  </si>
  <si>
    <t>UPF</t>
  </si>
  <si>
    <t xml:space="preserve">UV-A Transmittance (%) </t>
  </si>
  <si>
    <t xml:space="preserve">UV-B Transmittance (%) </t>
  </si>
  <si>
    <t>% Blocking (UV-A)</t>
  </si>
  <si>
    <t>% Blocking (UV-B)</t>
  </si>
  <si>
    <t>UPF rating</t>
  </si>
  <si>
    <t>Standard Deviation</t>
  </si>
  <si>
    <t>Wet Evaluation</t>
  </si>
  <si>
    <t>Instrument Used</t>
  </si>
  <si>
    <t>UV-Vis (CA-011__)</t>
  </si>
  <si>
    <t>Remark:</t>
  </si>
  <si>
    <t>1) Specimens for AATCC 183&amp;ASTM D6603: Uniform materials:2; Multi-colored material: 4 / 6 / 8;
2) On multi-colored specimens, determine the area of highest UV transmission and make the three measurements in  that area;
3) UPF = Mean UPF- E , When "Mean UPF- E" value is less than the all measured data, report lowest UPF measured of a particular specimen.</t>
  </si>
  <si>
    <t xml:space="preserve">Reviewed by:___________                              Analyst:____________                                    Checked by:____________
Date:_________________                               Date:______________                                    Date:_________________                        </t>
  </si>
  <si>
    <t>DETERMINATION OF SOLAR UV PROTECTIVE PROPERTIES IN TEXTILE FABRICS</t>
  </si>
  <si>
    <t>Type</t>
  </si>
  <si>
    <t>Uniform Sample</t>
  </si>
  <si>
    <t>Sample Description</t>
  </si>
  <si>
    <r>
      <t>UPF</t>
    </r>
    <r>
      <rPr>
        <vertAlign val="subscript"/>
        <sz val="10"/>
        <rFont val="Times New Roman"/>
        <family val="1"/>
      </rPr>
      <t>(mean)</t>
    </r>
  </si>
  <si>
    <t>Standard deviation of UPF</t>
  </si>
  <si>
    <t>UV-A Transmittance (%) (mean)</t>
  </si>
  <si>
    <t>UV-B Transmittance (%) (mean)</t>
  </si>
  <si>
    <t>Rated UPF</t>
  </si>
  <si>
    <t>Number of specimens tested</t>
  </si>
  <si>
    <t>Non-uniform sample</t>
  </si>
  <si>
    <t xml:space="preserve">  UV-Vis (CA-011__)</t>
  </si>
  <si>
    <t>1)Specimens for AS/NZS 4399:Uniform materials:4; Multi-colored material:5;
2)When the sample UPF is larger than 50 ,only UPF 50+ need be reported. 
3)For uniform sample, when Calculated UPF is less than the lowest positive UPF measured for a particular specimen, then the Rated UPF of that specimen shall be reported as follows : Rated UPF = lowest UPF measured (rounded down to the nearest multiple of five).(Rated UPF result rounds down to the nearest UPF rating of 15, 30, 50 or 50+)
4) For non-uniform sample, has areas of different color, each color area should be tested and the lowest rating color reported; has areas of different texture, the area with the lowest cover factor should be used as a sample . If a garment is fully lined, the lining and outer fabric should be tested together.</t>
  </si>
  <si>
    <t xml:space="preserve">Reviewed by:___________                               Analyst:____________                                 Checked by:___________
Date:_________________                               Date:______________                                 Date:________________                        </t>
  </si>
  <si>
    <t>Uniform sample</t>
  </si>
  <si>
    <t>Number of Specimen(s) tested</t>
  </si>
  <si>
    <t>Mean UVA Transmittance (%)</t>
  </si>
  <si>
    <r>
      <t>Standard Deviation of Mean UVA Transmittance (%)</t>
    </r>
    <r>
      <rPr>
        <vertAlign val="subscript"/>
        <sz val="10"/>
        <rFont val="Times New Roman"/>
        <family val="1"/>
      </rPr>
      <t xml:space="preserve">        </t>
    </r>
  </si>
  <si>
    <t>Mean UVB Transmittance (%)</t>
  </si>
  <si>
    <t xml:space="preserve">Standard Deviation of Mean UVB Transmittance (%)      </t>
  </si>
  <si>
    <t>Standard Deviation of Mean UPF</t>
  </si>
  <si>
    <t>Sample UPF</t>
  </si>
  <si>
    <t>Sample UVA Transmittance (%)</t>
  </si>
  <si>
    <t>Instrument Used:</t>
  </si>
  <si>
    <t xml:space="preserve">Temperature and Relative Humidity for testing EN 13758-1:2001+A1:2006 &amp; BS 8466:2006 </t>
  </si>
  <si>
    <t>(20 ± 2)°C and (65 ± 2)% r.h.</t>
  </si>
  <si>
    <r>
      <t>1) Specimens for EN 13758 &amp; BS 8466: Uniform materials:at least 4; Multi-colored material:10;
2) For EN 13758 &amp; BS 8466, when the sample UPF &gt; 50 ,only "UPF &gt;50" need be reported;
3) For uniform sample, Calculated UPF = Mean UPF - E, when Calculated UPF is less than the lowest positive UPF measured for a particular specimen, then the Sample UPF of that specimen shall be reported as follows : Sample UPF = lowest UPF measured (rounded down to the nearest multiple of five).
4) For non-uniform sample, the lowest positive UPF value measured shall be reported as the sample UPF. The highest UVA</t>
    </r>
    <r>
      <rPr>
        <vertAlign val="subscript"/>
        <sz val="9"/>
        <rFont val="Times New Roman"/>
        <family val="1"/>
      </rPr>
      <t>i</t>
    </r>
    <r>
      <rPr>
        <sz val="9"/>
        <rFont val="Times New Roman"/>
        <family val="1"/>
      </rPr>
      <t xml:space="preserve"> value measured shall be reported as the sample UVA</t>
    </r>
  </si>
  <si>
    <t xml:space="preserve">Reviewed by:________                              Analyst:__________                                      Checked by:________
Date:______________                               Date:______________                                  Date:______________                        </t>
  </si>
  <si>
    <t xml:space="preserve">Mean UPF         </t>
  </si>
  <si>
    <t xml:space="preserve">Temperature and Relative Humidity for testing </t>
  </si>
  <si>
    <r>
      <t>1) GB/T 18830: Uniform materials:at least 4; Multi-colored material:10;
2) For GB/T 18830, when the sample UPF&gt;50 ,only "UPF &gt;50" need be reported . When UPF&gt;40 and T(UVA)</t>
    </r>
    <r>
      <rPr>
        <vertAlign val="subscript"/>
        <sz val="9"/>
        <rFont val="Times New Roman"/>
        <family val="1"/>
      </rPr>
      <t>AV</t>
    </r>
    <r>
      <rPr>
        <sz val="9"/>
        <rFont val="Times New Roman"/>
        <family val="1"/>
      </rPr>
      <t xml:space="preserve">&lt;5% , reported as "UV protective product";
3) For uniform sample, Calculated UPF = Mean UPF - E, when Calculated UPF is less than the lowest positive UPF measured for a particular specimen, then the Sample UPF of that specimen shall be reported as follows : Sample UPF = lowest UPF measured 
4) For non-uniform sample, the lowest positive UPF value measured shall be reported as the sample UPF. </t>
    </r>
  </si>
  <si>
    <t>ASTM D6603-2012</t>
    <phoneticPr fontId="1" type="noConversion"/>
  </si>
  <si>
    <t>TABLE A2.1 Values for Standard Error Equition based on the Number of Specimens</t>
    <phoneticPr fontId="1" type="noConversion"/>
  </si>
  <si>
    <t>k(自由度)</t>
    <phoneticPr fontId="1" type="noConversion"/>
  </si>
  <si>
    <t>t</t>
    <phoneticPr fontId="1" type="noConversion"/>
  </si>
  <si>
    <t>n</t>
    <phoneticPr fontId="1" type="noConversion"/>
  </si>
  <si>
    <t>t/(n)^0.5</t>
    <phoneticPr fontId="1" type="noConversion"/>
  </si>
  <si>
    <t>`</t>
    <phoneticPr fontId="1" type="noConversion"/>
  </si>
  <si>
    <t xml:space="preserve">                                 </t>
    <phoneticPr fontId="1" type="noConversion"/>
  </si>
  <si>
    <t xml:space="preserve">        </t>
    <phoneticPr fontId="1" type="noConversion"/>
  </si>
  <si>
    <t>请选择生成的标准报告样式：</t>
    <phoneticPr fontId="1" type="noConversion"/>
  </si>
  <si>
    <t>Speciman1</t>
    <phoneticPr fontId="1" type="noConversion"/>
  </si>
  <si>
    <t>Raw DATA</t>
    <phoneticPr fontId="1" type="noConversion"/>
  </si>
  <si>
    <t>ATTCC 183-2014</t>
  </si>
  <si>
    <t>Ultraviolet Protection Factor</t>
  </si>
  <si>
    <t>ΣT(λ)Δλ</t>
  </si>
  <si>
    <t>UPF=</t>
  </si>
  <si>
    <t xml:space="preserve">ΣE(λ)S(λ)Δλ </t>
  </si>
  <si>
    <t>ΣΔλ</t>
  </si>
  <si>
    <t>ΣE(λ)S(λ)T(λ)Δλ</t>
  </si>
  <si>
    <t>315 to 400 nm UVA</t>
  </si>
  <si>
    <t xml:space="preserve">Relative Erythmal </t>
  </si>
  <si>
    <t>Solar  Spectral</t>
  </si>
  <si>
    <t>Effectiveness E(λ)</t>
  </si>
  <si>
    <t>Irradiance S(λ)</t>
  </si>
  <si>
    <t>ΣE(λ)S(λ)=</t>
  </si>
  <si>
    <t>ΣE(λ)S(λ)T(λ)=</t>
  </si>
  <si>
    <t>ΣT(λ)=</t>
  </si>
  <si>
    <t>Σ=</t>
  </si>
  <si>
    <t>T(UV-A)AV =</t>
  </si>
  <si>
    <t>T(UV-B)AV =</t>
  </si>
  <si>
    <t>请选择测试的试样数目：</t>
    <phoneticPr fontId="1" type="noConversion"/>
  </si>
  <si>
    <t>Speciman2</t>
    <phoneticPr fontId="1" type="noConversion"/>
  </si>
  <si>
    <t>Number of samples tested</t>
  </si>
  <si>
    <t>BS EN 13758-1-2002</t>
    <phoneticPr fontId="1" type="noConversion"/>
  </si>
  <si>
    <t>Table 1</t>
    <phoneticPr fontId="1" type="noConversion"/>
  </si>
  <si>
    <t>Deyermination of ta/2,n-1 for a=0.05</t>
    <phoneticPr fontId="1" type="noConversion"/>
  </si>
  <si>
    <r>
      <rPr>
        <sz val="14"/>
        <color theme="1"/>
        <rFont val="等线"/>
        <family val="3"/>
        <charset val="134"/>
        <scheme val="minor"/>
      </rPr>
      <t>t</t>
    </r>
    <r>
      <rPr>
        <sz val="9"/>
        <color theme="1"/>
        <rFont val="等线"/>
        <family val="3"/>
        <charset val="134"/>
        <scheme val="minor"/>
      </rPr>
      <t>a/2,n-1</t>
    </r>
    <phoneticPr fontId="1" type="noConversion"/>
  </si>
  <si>
    <t>Speciman3</t>
    <phoneticPr fontId="1" type="noConversion"/>
  </si>
  <si>
    <t>Speciman4</t>
    <phoneticPr fontId="1" type="noConversion"/>
  </si>
  <si>
    <t>ASNZ</t>
    <phoneticPr fontId="1" type="noConversion"/>
  </si>
  <si>
    <t>Speciman5</t>
    <phoneticPr fontId="1" type="noConversion"/>
  </si>
  <si>
    <t>report隐藏状态：</t>
    <phoneticPr fontId="1" type="noConversion"/>
  </si>
  <si>
    <t>Raw DATA</t>
  </si>
  <si>
    <t>Speciman6</t>
  </si>
  <si>
    <t>Speciman7</t>
  </si>
  <si>
    <t>Speciman8</t>
  </si>
  <si>
    <t>Speciman9</t>
  </si>
  <si>
    <t>20        Good protection</t>
  </si>
  <si>
    <t>50+        Excellent protection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</si>
</sst>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(* #,##0.00_);_(* \(#,##0.00\);_(* &quot;-&quot;??_);_(@_)"/>
    <numFmt numFmtId="177" formatCode="_(* #,##0_);_(* \(#,##0\);_(* &quot;-&quot;_);_(@_)"/>
    <numFmt numFmtId="178" formatCode="_(* #,##0.0000_);_(* \(#,##0.0000\);_(* &quot;-&quot;_);_(@_)"/>
    <numFmt numFmtId="179" formatCode="_-* #,##0.00_-;\-* #,##0.00_-;_-* &quot;-&quot;??_-;_-@_-"/>
    <numFmt numFmtId="180" formatCode="0.0000"/>
    <numFmt numFmtId="181" formatCode="_(* #,##0.0000_);_(* \(#,##0.0000\);_(* &quot;-&quot;??_);_(@_)"/>
    <numFmt numFmtId="182" formatCode="General;\0"/>
    <numFmt numFmtId="183" formatCode="#,##0.00%"/>
  </numFmts>
  <fonts count="3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Times New Roman"/>
      <family val="1"/>
    </font>
    <font>
      <sz val="9"/>
      <name val="新細明體"/>
      <family val="1"/>
      <charset val="136"/>
    </font>
    <font>
      <b/>
      <sz val="11"/>
      <name val="Times New Roman"/>
      <family val="1"/>
    </font>
    <font>
      <b/>
      <sz val="12"/>
      <name val="Times New Roman"/>
      <family val="1"/>
    </font>
    <font>
      <sz val="11"/>
      <color theme="1"/>
      <name val="等线"/>
      <family val="2"/>
      <scheme val="minor"/>
    </font>
    <font>
      <vertAlign val="superscript"/>
      <sz val="11"/>
      <color theme="1"/>
      <name val="等线"/>
      <family val="3"/>
      <charset val="134"/>
      <scheme val="minor"/>
    </font>
    <font>
      <sz val="12"/>
      <name val="华文中宋"/>
      <family val="3"/>
      <charset val="134"/>
    </font>
    <font>
      <b/>
      <i/>
      <sz val="10"/>
      <name val="Times New Roman"/>
      <family val="1"/>
    </font>
    <font>
      <sz val="12"/>
      <name val="Times New Roman"/>
      <family val="1"/>
    </font>
    <font>
      <sz val="12"/>
      <name val="新細明體"/>
      <family val="1"/>
      <charset val="136"/>
    </font>
    <font>
      <sz val="10"/>
      <name val="MS Sans Serif"/>
      <family val="2"/>
    </font>
    <font>
      <sz val="16"/>
      <name val="Times New Roman"/>
      <family val="1"/>
    </font>
    <font>
      <u/>
      <sz val="12"/>
      <name val="細明體"/>
      <family val="3"/>
      <charset val="136"/>
    </font>
    <font>
      <u/>
      <sz val="12"/>
      <name val="Times New Roman"/>
      <family val="1"/>
    </font>
    <font>
      <sz val="12"/>
      <name val="細明體"/>
      <family val="3"/>
      <charset val="136"/>
    </font>
    <font>
      <u/>
      <sz val="12"/>
      <name val="Calibri"/>
      <family val="3"/>
      <charset val="161"/>
    </font>
    <font>
      <u/>
      <sz val="12"/>
      <name val="宋体"/>
      <family val="3"/>
      <charset val="134"/>
    </font>
    <font>
      <sz val="12"/>
      <name val="Calibri"/>
      <family val="3"/>
      <charset val="161"/>
    </font>
    <font>
      <vertAlign val="subscript"/>
      <sz val="11"/>
      <color theme="1"/>
      <name val="等线"/>
      <family val="1"/>
      <charset val="134"/>
    </font>
    <font>
      <i/>
      <vertAlign val="subscript"/>
      <sz val="12"/>
      <name val="Times New Roman"/>
      <family val="1"/>
    </font>
    <font>
      <sz val="10"/>
      <name val="华文中宋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6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vertAlign val="subscript"/>
      <sz val="10"/>
      <name val="Times New Roman"/>
      <family val="1"/>
    </font>
    <font>
      <vertAlign val="subscript"/>
      <sz val="9"/>
      <name val="Times New Roman"/>
      <family val="1"/>
    </font>
    <font>
      <sz val="11"/>
      <color rgb="FF000000"/>
      <name val="等线"/>
      <family val="3"/>
      <charset val="134"/>
    </font>
    <font>
      <sz val="9"/>
      <color rgb="FF000000"/>
      <name val="Microsoft YaHei UI"/>
      <family val="2"/>
      <charset val="134"/>
    </font>
    <font>
      <sz val="12"/>
      <color theme="1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76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9" fontId="11" fillId="0" borderId="0" applyFont="0" applyFill="0" applyBorder="0" applyAlignment="0" applyProtection="0"/>
    <xf numFmtId="0" fontId="12" fillId="0" borderId="0"/>
  </cellStyleXfs>
  <cellXfs count="193">
    <xf numFmtId="0" fontId="0" fillId="0" borderId="0" xfId="0"/>
    <xf numFmtId="11" fontId="0" fillId="0" borderId="0" xfId="0" applyNumberFormat="1"/>
    <xf numFmtId="0" fontId="10" fillId="0" borderId="4" xfId="0" applyFont="1" applyBorder="1" applyAlignment="1" applyProtection="1">
      <alignment horizontal="center"/>
    </xf>
    <xf numFmtId="0" fontId="10" fillId="0" borderId="6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80" fontId="0" fillId="0" borderId="0" xfId="2" applyNumberFormat="1" applyFont="1" applyBorder="1" applyAlignment="1" applyProtection="1">
      <alignment horizontal="center"/>
      <protection hidden="1"/>
    </xf>
    <xf numFmtId="0" fontId="10" fillId="0" borderId="0" xfId="5" applyFont="1" applyProtection="1"/>
    <xf numFmtId="0" fontId="14" fillId="0" borderId="0" xfId="5" quotePrefix="1" applyFont="1" applyAlignment="1" applyProtection="1">
      <alignment horizontal="left"/>
    </xf>
    <xf numFmtId="0" fontId="16" fillId="0" borderId="0" xfId="5" quotePrefix="1" applyFont="1" applyAlignment="1" applyProtection="1">
      <alignment horizontal="left"/>
    </xf>
    <xf numFmtId="0" fontId="2" fillId="0" borderId="0" xfId="5" applyFont="1" applyAlignment="1" applyProtection="1">
      <alignment horizontal="right"/>
    </xf>
    <xf numFmtId="0" fontId="10" fillId="0" borderId="0" xfId="0" applyFont="1" applyBorder="1" applyAlignment="1" applyProtection="1">
      <alignment horizontal="center"/>
    </xf>
    <xf numFmtId="181" fontId="0" fillId="0" borderId="0" xfId="1" applyNumberFormat="1" applyFont="1" applyBorder="1" applyAlignment="1" applyProtection="1">
      <alignment horizontal="center" vertical="center"/>
      <protection hidden="1"/>
    </xf>
    <xf numFmtId="0" fontId="15" fillId="0" borderId="0" xfId="5" quotePrefix="1" applyFont="1" applyAlignment="1" applyProtection="1">
      <alignment horizontal="left"/>
    </xf>
    <xf numFmtId="0" fontId="10" fillId="0" borderId="0" xfId="5" applyFont="1" applyAlignment="1" applyProtection="1">
      <alignment horizontal="right"/>
    </xf>
    <xf numFmtId="0" fontId="0" fillId="0" borderId="0" xfId="5" quotePrefix="1" applyFont="1" applyAlignment="1" applyProtection="1">
      <alignment horizontal="left"/>
    </xf>
    <xf numFmtId="0" fontId="10" fillId="0" borderId="0" xfId="5" applyFont="1" applyAlignment="1" applyProtection="1">
      <alignment horizontal="left"/>
    </xf>
    <xf numFmtId="182" fontId="0" fillId="0" borderId="0" xfId="2" applyNumberFormat="1" applyFont="1" applyBorder="1" applyAlignment="1" applyProtection="1">
      <alignment horizontal="center"/>
      <protection hidden="1"/>
    </xf>
    <xf numFmtId="0" fontId="8" fillId="2" borderId="2" xfId="0" applyFont="1" applyFill="1" applyBorder="1" applyAlignment="1" applyProtection="1">
      <alignment horizontal="left"/>
    </xf>
    <xf numFmtId="179" fontId="10" fillId="0" borderId="5" xfId="4" applyFont="1" applyBorder="1" applyAlignment="1" applyProtection="1">
      <alignment horizontal="center"/>
      <protection locked="0"/>
    </xf>
    <xf numFmtId="0" fontId="10" fillId="0" borderId="0" xfId="5" applyFont="1" applyBorder="1" applyProtection="1"/>
    <xf numFmtId="180" fontId="0" fillId="0" borderId="0" xfId="0" applyNumberFormat="1"/>
    <xf numFmtId="182" fontId="0" fillId="0" borderId="0" xfId="2" applyNumberFormat="1" applyFont="1" applyBorder="1" applyAlignment="1" applyProtection="1">
      <alignment horizontal="right"/>
      <protection hidden="1"/>
    </xf>
    <xf numFmtId="0" fontId="0" fillId="0" borderId="0" xfId="0" applyProtection="1"/>
    <xf numFmtId="0" fontId="2" fillId="0" borderId="0" xfId="0" applyFont="1" applyProtection="1"/>
    <xf numFmtId="0" fontId="13" fillId="0" borderId="0" xfId="5" applyFont="1" applyProtection="1"/>
    <xf numFmtId="0" fontId="2" fillId="0" borderId="0" xfId="0" applyFont="1" applyAlignment="1" applyProtection="1">
      <alignment horizontal="center"/>
    </xf>
    <xf numFmtId="10" fontId="2" fillId="0" borderId="0" xfId="3" applyNumberFormat="1" applyFont="1" applyAlignment="1" applyProtection="1"/>
    <xf numFmtId="11" fontId="2" fillId="0" borderId="0" xfId="0" applyNumberFormat="1" applyFont="1" applyProtection="1"/>
    <xf numFmtId="182" fontId="2" fillId="0" borderId="0" xfId="0" applyNumberFormat="1" applyFont="1" applyProtection="1"/>
    <xf numFmtId="11" fontId="0" fillId="0" borderId="0" xfId="0" applyNumberFormat="1" applyProtection="1"/>
    <xf numFmtId="182" fontId="0" fillId="0" borderId="0" xfId="0" applyNumberFormat="1" applyProtection="1"/>
    <xf numFmtId="10" fontId="0" fillId="0" borderId="0" xfId="3" applyNumberFormat="1" applyFont="1" applyAlignment="1" applyProtection="1"/>
    <xf numFmtId="0" fontId="2" fillId="0" borderId="0" xfId="0" applyNumberFormat="1" applyFont="1" applyProtection="1"/>
    <xf numFmtId="178" fontId="10" fillId="0" borderId="0" xfId="2" applyNumberFormat="1" applyFont="1" applyBorder="1" applyAlignment="1" applyProtection="1">
      <alignment horizontal="center"/>
    </xf>
    <xf numFmtId="178" fontId="22" fillId="2" borderId="3" xfId="2" quotePrefix="1" applyNumberFormat="1" applyFont="1" applyFill="1" applyBorder="1" applyAlignment="1" applyProtection="1">
      <alignment horizontal="center"/>
      <protection locked="0"/>
    </xf>
    <xf numFmtId="0" fontId="0" fillId="5" borderId="0" xfId="0" applyFill="1"/>
    <xf numFmtId="0" fontId="23" fillId="0" borderId="5" xfId="0" applyFon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176" fontId="2" fillId="0" borderId="0" xfId="3" applyNumberFormat="1" applyFont="1" applyAlignment="1" applyProtection="1"/>
    <xf numFmtId="176" fontId="2" fillId="0" borderId="0" xfId="0" applyNumberFormat="1" applyFont="1" applyProtection="1"/>
    <xf numFmtId="179" fontId="2" fillId="0" borderId="0" xfId="0" applyNumberFormat="1" applyFont="1" applyProtection="1"/>
    <xf numFmtId="0" fontId="32" fillId="5" borderId="0" xfId="0" applyFont="1" applyFill="1" applyAlignment="1">
      <alignment vertical="center"/>
    </xf>
    <xf numFmtId="0" fontId="2" fillId="0" borderId="0" xfId="3" applyNumberFormat="1" applyFont="1" applyAlignment="1" applyProtection="1"/>
    <xf numFmtId="0" fontId="34" fillId="0" borderId="0" xfId="0" applyFont="1"/>
    <xf numFmtId="10" fontId="0" fillId="0" borderId="0" xfId="3" applyNumberFormat="1" applyFont="1" applyAlignment="1"/>
    <xf numFmtId="0" fontId="0" fillId="0" borderId="0" xfId="0" applyProtection="1">
      <protection locked="0"/>
    </xf>
    <xf numFmtId="0" fontId="26" fillId="0" borderId="31" xfId="0" applyFont="1" applyBorder="1" applyAlignment="1">
      <alignment horizontal="left" vertical="center" wrapText="1"/>
    </xf>
    <xf numFmtId="0" fontId="26" fillId="0" borderId="32" xfId="0" applyFont="1" applyBorder="1" applyAlignment="1">
      <alignment horizontal="left" vertical="center" wrapText="1"/>
    </xf>
    <xf numFmtId="0" fontId="26" fillId="0" borderId="33" xfId="0" applyFont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center" wrapText="1"/>
    </xf>
    <xf numFmtId="0" fontId="26" fillId="0" borderId="45" xfId="0" applyFont="1" applyBorder="1" applyAlignment="1">
      <alignment horizontal="left" vertical="center" wrapText="1"/>
    </xf>
    <xf numFmtId="0" fontId="26" fillId="0" borderId="46" xfId="0" applyFont="1" applyBorder="1" applyAlignment="1">
      <alignment horizontal="left" vertical="center" wrapText="1"/>
    </xf>
    <xf numFmtId="0" fontId="26" fillId="0" borderId="37" xfId="0" applyFont="1" applyBorder="1" applyAlignment="1">
      <alignment horizontal="left" vertical="center" wrapText="1"/>
    </xf>
    <xf numFmtId="0" fontId="26" fillId="0" borderId="16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0" fontId="26" fillId="0" borderId="34" xfId="0" applyFont="1" applyBorder="1" applyAlignment="1">
      <alignment horizontal="left" vertical="center" wrapText="1"/>
    </xf>
    <xf numFmtId="0" fontId="26" fillId="0" borderId="35" xfId="0" applyFont="1" applyBorder="1" applyAlignment="1">
      <alignment horizontal="left" vertical="center" wrapText="1"/>
    </xf>
    <xf numFmtId="0" fontId="26" fillId="0" borderId="36" xfId="0" applyFont="1" applyBorder="1" applyAlignment="1">
      <alignment horizontal="left" vertical="center" wrapText="1"/>
    </xf>
    <xf numFmtId="0" fontId="26" fillId="3" borderId="38" xfId="0" applyFont="1" applyFill="1" applyBorder="1" applyAlignment="1">
      <alignment horizontal="center" vertical="center"/>
    </xf>
    <xf numFmtId="0" fontId="26" fillId="0" borderId="31" xfId="0" applyFont="1" applyBorder="1" applyAlignment="1">
      <alignment horizontal="left" vertical="center"/>
    </xf>
    <xf numFmtId="0" fontId="26" fillId="0" borderId="32" xfId="0" applyFont="1" applyBorder="1" applyAlignment="1">
      <alignment horizontal="left" vertical="center"/>
    </xf>
    <xf numFmtId="0" fontId="26" fillId="0" borderId="34" xfId="0" applyFont="1" applyBorder="1" applyAlignment="1">
      <alignment horizontal="left" vertical="center"/>
    </xf>
    <xf numFmtId="0" fontId="26" fillId="0" borderId="35" xfId="0" applyFont="1" applyBorder="1" applyAlignment="1">
      <alignment horizontal="left" vertical="center"/>
    </xf>
    <xf numFmtId="0" fontId="26" fillId="0" borderId="33" xfId="0" applyFont="1" applyBorder="1" applyAlignment="1">
      <alignment horizontal="left" vertical="center"/>
    </xf>
    <xf numFmtId="0" fontId="26" fillId="0" borderId="36" xfId="0" applyFont="1" applyBorder="1" applyAlignment="1">
      <alignment horizontal="left" vertical="center"/>
    </xf>
    <xf numFmtId="0" fontId="26" fillId="0" borderId="31" xfId="0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7" fillId="0" borderId="32" xfId="0" applyFont="1" applyBorder="1" applyAlignment="1">
      <alignment horizontal="left" vertical="center" wrapText="1"/>
    </xf>
    <xf numFmtId="0" fontId="27" fillId="0" borderId="32" xfId="0" applyFont="1" applyBorder="1" applyAlignment="1">
      <alignment horizontal="left" vertical="center"/>
    </xf>
    <xf numFmtId="0" fontId="27" fillId="0" borderId="33" xfId="0" applyFont="1" applyBorder="1" applyAlignment="1">
      <alignment horizontal="left" vertical="center"/>
    </xf>
    <xf numFmtId="0" fontId="27" fillId="0" borderId="35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6" fillId="0" borderId="35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37" xfId="0" applyFont="1" applyBorder="1" applyAlignment="1">
      <alignment horizontal="left" vertical="center"/>
    </xf>
    <xf numFmtId="0" fontId="26" fillId="0" borderId="16" xfId="0" applyFont="1" applyBorder="1" applyAlignment="1">
      <alignment horizontal="left" vertical="center"/>
    </xf>
    <xf numFmtId="183" fontId="26" fillId="0" borderId="16" xfId="3" applyNumberFormat="1" applyFont="1" applyBorder="1" applyAlignment="1">
      <alignment horizontal="center" vertical="center"/>
    </xf>
    <xf numFmtId="183" fontId="26" fillId="0" borderId="28" xfId="3" applyNumberFormat="1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4" fontId="26" fillId="0" borderId="16" xfId="0" applyNumberFormat="1" applyFont="1" applyBorder="1" applyAlignment="1">
      <alignment horizontal="center" vertical="center"/>
    </xf>
    <xf numFmtId="0" fontId="26" fillId="0" borderId="43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26" fillId="0" borderId="18" xfId="0" applyFont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183" fontId="26" fillId="4" borderId="16" xfId="3" applyNumberFormat="1" applyFont="1" applyFill="1" applyBorder="1" applyAlignment="1">
      <alignment horizontal="center" vertical="center"/>
    </xf>
    <xf numFmtId="183" fontId="26" fillId="4" borderId="28" xfId="3" applyNumberFormat="1" applyFont="1" applyFill="1" applyBorder="1" applyAlignment="1">
      <alignment horizontal="center" vertical="center"/>
    </xf>
    <xf numFmtId="0" fontId="26" fillId="0" borderId="28" xfId="0" applyFont="1" applyBorder="1" applyAlignment="1">
      <alignment horizontal="left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23" xfId="0" applyFont="1" applyFill="1" applyBorder="1" applyAlignment="1">
      <alignment horizontal="center" vertical="center"/>
    </xf>
    <xf numFmtId="0" fontId="26" fillId="3" borderId="52" xfId="0" applyFont="1" applyFill="1" applyBorder="1" applyAlignment="1">
      <alignment horizontal="center" vertical="center"/>
    </xf>
    <xf numFmtId="4" fontId="26" fillId="0" borderId="28" xfId="0" applyNumberFormat="1" applyFont="1" applyBorder="1" applyAlignment="1">
      <alignment horizontal="center" vertical="center"/>
    </xf>
    <xf numFmtId="0" fontId="26" fillId="0" borderId="15" xfId="0" applyFont="1" applyBorder="1" applyAlignment="1">
      <alignment horizontal="left" vertical="center"/>
    </xf>
    <xf numFmtId="0" fontId="26" fillId="0" borderId="11" xfId="0" applyFont="1" applyBorder="1" applyAlignment="1">
      <alignment horizontal="left" vertical="center"/>
    </xf>
    <xf numFmtId="0" fontId="26" fillId="0" borderId="39" xfId="0" applyFont="1" applyBorder="1" applyAlignment="1">
      <alignment horizontal="left" vertical="center"/>
    </xf>
    <xf numFmtId="0" fontId="26" fillId="0" borderId="40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183" fontId="26" fillId="0" borderId="18" xfId="3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3" borderId="41" xfId="0" applyFont="1" applyFill="1" applyBorder="1" applyAlignment="1">
      <alignment horizontal="center" vertical="center"/>
    </xf>
    <xf numFmtId="0" fontId="26" fillId="3" borderId="24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left" vertical="center"/>
    </xf>
    <xf numFmtId="0" fontId="26" fillId="4" borderId="25" xfId="0" applyFont="1" applyFill="1" applyBorder="1" applyAlignment="1">
      <alignment horizontal="left" vertical="center"/>
    </xf>
    <xf numFmtId="0" fontId="26" fillId="4" borderId="6" xfId="0" applyFont="1" applyFill="1" applyBorder="1" applyAlignment="1">
      <alignment horizontal="center" vertical="center"/>
    </xf>
    <xf numFmtId="0" fontId="26" fillId="4" borderId="8" xfId="0" applyFont="1" applyFill="1" applyBorder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0" fontId="26" fillId="0" borderId="19" xfId="0" applyFont="1" applyBorder="1" applyAlignment="1">
      <alignment horizontal="left" vertical="center"/>
    </xf>
    <xf numFmtId="0" fontId="26" fillId="0" borderId="20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6" fillId="4" borderId="13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/>
    </xf>
    <xf numFmtId="0" fontId="26" fillId="4" borderId="25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center"/>
    </xf>
    <xf numFmtId="0" fontId="26" fillId="0" borderId="30" xfId="0" applyFont="1" applyBorder="1" applyAlignment="1">
      <alignment horizontal="left" vertical="center"/>
    </xf>
    <xf numFmtId="0" fontId="26" fillId="0" borderId="6" xfId="0" applyFont="1" applyBorder="1" applyAlignment="1">
      <alignment horizontal="left" vertical="center"/>
    </xf>
    <xf numFmtId="0" fontId="26" fillId="0" borderId="14" xfId="0" applyFont="1" applyBorder="1" applyAlignment="1">
      <alignment horizontal="left" vertical="center"/>
    </xf>
    <xf numFmtId="0" fontId="26" fillId="0" borderId="47" xfId="0" applyFont="1" applyBorder="1" applyAlignment="1">
      <alignment horizontal="left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48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4" fontId="26" fillId="0" borderId="16" xfId="3" applyNumberFormat="1" applyFont="1" applyBorder="1" applyAlignment="1">
      <alignment horizontal="center" vertical="center"/>
    </xf>
    <xf numFmtId="4" fontId="26" fillId="0" borderId="28" xfId="3" applyNumberFormat="1" applyFont="1" applyBorder="1" applyAlignment="1">
      <alignment horizontal="center" vertical="center"/>
    </xf>
    <xf numFmtId="0" fontId="26" fillId="0" borderId="49" xfId="0" applyFont="1" applyBorder="1" applyAlignment="1">
      <alignment horizontal="left" vertical="center"/>
    </xf>
    <xf numFmtId="0" fontId="26" fillId="0" borderId="50" xfId="0" applyFont="1" applyBorder="1" applyAlignment="1">
      <alignment horizontal="left" vertical="center"/>
    </xf>
    <xf numFmtId="0" fontId="26" fillId="0" borderId="43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center" wrapText="1"/>
    </xf>
    <xf numFmtId="0" fontId="26" fillId="0" borderId="1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183" fontId="26" fillId="0" borderId="16" xfId="0" applyNumberFormat="1" applyFont="1" applyBorder="1" applyAlignment="1">
      <alignment horizontal="center" vertical="center"/>
    </xf>
    <xf numFmtId="183" fontId="26" fillId="0" borderId="28" xfId="0" applyNumberFormat="1" applyFont="1" applyBorder="1" applyAlignment="1">
      <alignment horizontal="center" vertical="center"/>
    </xf>
    <xf numFmtId="0" fontId="26" fillId="0" borderId="44" xfId="0" applyFont="1" applyBorder="1" applyAlignment="1">
      <alignment horizontal="left" vertical="center"/>
    </xf>
    <xf numFmtId="0" fontId="26" fillId="0" borderId="45" xfId="0" applyFont="1" applyBorder="1" applyAlignment="1">
      <alignment horizontal="left" vertical="center"/>
    </xf>
    <xf numFmtId="4" fontId="26" fillId="0" borderId="17" xfId="0" applyNumberFormat="1" applyFont="1" applyBorder="1" applyAlignment="1">
      <alignment horizontal="center" vertical="center"/>
    </xf>
    <xf numFmtId="4" fontId="26" fillId="0" borderId="18" xfId="0" applyNumberFormat="1" applyFont="1" applyBorder="1" applyAlignment="1">
      <alignment horizontal="center" vertical="center"/>
    </xf>
    <xf numFmtId="4" fontId="26" fillId="0" borderId="29" xfId="0" applyNumberFormat="1" applyFont="1" applyBorder="1" applyAlignment="1">
      <alignment horizontal="center" vertical="center"/>
    </xf>
    <xf numFmtId="0" fontId="26" fillId="6" borderId="37" xfId="0" applyFont="1" applyFill="1" applyBorder="1" applyAlignment="1">
      <alignment horizontal="left" vertical="center"/>
    </xf>
    <xf numFmtId="0" fontId="26" fillId="6" borderId="16" xfId="0" applyFont="1" applyFill="1" applyBorder="1" applyAlignment="1">
      <alignment horizontal="left" vertical="center"/>
    </xf>
    <xf numFmtId="4" fontId="26" fillId="6" borderId="16" xfId="0" applyNumberFormat="1" applyFont="1" applyFill="1" applyBorder="1" applyAlignment="1">
      <alignment horizontal="center" vertical="center"/>
    </xf>
    <xf numFmtId="4" fontId="26" fillId="6" borderId="28" xfId="0" applyNumberFormat="1" applyFont="1" applyFill="1" applyBorder="1" applyAlignment="1">
      <alignment horizontal="center" vertical="center"/>
    </xf>
    <xf numFmtId="183" fontId="26" fillId="6" borderId="16" xfId="3" applyNumberFormat="1" applyFont="1" applyFill="1" applyBorder="1" applyAlignment="1">
      <alignment horizontal="center" vertical="center"/>
    </xf>
    <xf numFmtId="183" fontId="26" fillId="6" borderId="28" xfId="3" applyNumberFormat="1" applyFont="1" applyFill="1" applyBorder="1" applyAlignment="1">
      <alignment horizontal="center" vertical="center"/>
    </xf>
    <xf numFmtId="0" fontId="26" fillId="7" borderId="37" xfId="0" applyFont="1" applyFill="1" applyBorder="1" applyAlignment="1">
      <alignment horizontal="left" vertical="center"/>
    </xf>
    <xf numFmtId="0" fontId="26" fillId="7" borderId="16" xfId="0" applyFont="1" applyFill="1" applyBorder="1" applyAlignment="1">
      <alignment horizontal="left" vertical="center"/>
    </xf>
    <xf numFmtId="4" fontId="26" fillId="7" borderId="16" xfId="0" applyNumberFormat="1" applyFont="1" applyFill="1" applyBorder="1" applyAlignment="1">
      <alignment horizontal="center" vertical="center"/>
    </xf>
    <xf numFmtId="4" fontId="26" fillId="7" borderId="28" xfId="0" applyNumberFormat="1" applyFont="1" applyFill="1" applyBorder="1" applyAlignment="1">
      <alignment horizontal="center" vertical="center"/>
    </xf>
    <xf numFmtId="183" fontId="26" fillId="7" borderId="16" xfId="3" applyNumberFormat="1" applyFont="1" applyFill="1" applyBorder="1" applyAlignment="1">
      <alignment horizontal="center" vertical="center"/>
    </xf>
    <xf numFmtId="183" fontId="26" fillId="7" borderId="28" xfId="3" applyNumberFormat="1" applyFont="1" applyFill="1" applyBorder="1" applyAlignment="1">
      <alignment horizontal="center" vertical="center"/>
    </xf>
    <xf numFmtId="0" fontId="26" fillId="8" borderId="37" xfId="0" applyFont="1" applyFill="1" applyBorder="1" applyAlignment="1">
      <alignment horizontal="left" vertical="center"/>
    </xf>
    <xf numFmtId="0" fontId="26" fillId="8" borderId="16" xfId="0" applyFont="1" applyFill="1" applyBorder="1" applyAlignment="1">
      <alignment horizontal="left" vertical="center"/>
    </xf>
    <xf numFmtId="4" fontId="26" fillId="8" borderId="16" xfId="0" applyNumberFormat="1" applyFont="1" applyFill="1" applyBorder="1" applyAlignment="1">
      <alignment horizontal="center" vertical="center"/>
    </xf>
    <xf numFmtId="4" fontId="26" fillId="8" borderId="28" xfId="0" applyNumberFormat="1" applyFont="1" applyFill="1" applyBorder="1" applyAlignment="1">
      <alignment horizontal="center" vertical="center"/>
    </xf>
    <xf numFmtId="183" fontId="26" fillId="8" borderId="16" xfId="3" applyNumberFormat="1" applyFont="1" applyFill="1" applyBorder="1" applyAlignment="1">
      <alignment horizontal="center" vertical="center"/>
    </xf>
    <xf numFmtId="183" fontId="26" fillId="8" borderId="28" xfId="3" applyNumberFormat="1" applyFont="1" applyFill="1" applyBorder="1" applyAlignment="1">
      <alignment horizontal="center" vertical="center"/>
    </xf>
    <xf numFmtId="4" fontId="26" fillId="0" borderId="1" xfId="0" applyNumberFormat="1" applyFont="1" applyBorder="1" applyAlignment="1">
      <alignment horizontal="center" vertical="center"/>
    </xf>
    <xf numFmtId="183" fontId="26" fillId="4" borderId="17" xfId="3" applyNumberFormat="1" applyFont="1" applyFill="1" applyBorder="1" applyAlignment="1">
      <alignment horizontal="center" vertical="center"/>
    </xf>
    <xf numFmtId="183" fontId="26" fillId="4" borderId="1" xfId="3" applyNumberFormat="1" applyFont="1" applyFill="1" applyBorder="1" applyAlignment="1">
      <alignment horizontal="center" vertical="center"/>
    </xf>
    <xf numFmtId="183" fontId="26" fillId="4" borderId="29" xfId="3" applyNumberFormat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4" fontId="26" fillId="0" borderId="21" xfId="0" applyNumberFormat="1" applyFont="1" applyBorder="1" applyAlignment="1">
      <alignment horizontal="center" vertical="center"/>
    </xf>
    <xf numFmtId="183" fontId="26" fillId="6" borderId="18" xfId="3" applyNumberFormat="1" applyFont="1" applyFill="1" applyBorder="1" applyAlignment="1">
      <alignment horizontal="center" vertical="center"/>
    </xf>
    <xf numFmtId="183" fontId="26" fillId="7" borderId="18" xfId="3" applyNumberFormat="1" applyFont="1" applyFill="1" applyBorder="1" applyAlignment="1">
      <alignment horizontal="center" vertical="center"/>
    </xf>
    <xf numFmtId="183" fontId="26" fillId="8" borderId="18" xfId="3" applyNumberFormat="1" applyFont="1" applyFill="1" applyBorder="1" applyAlignment="1">
      <alignment horizontal="center" vertical="center"/>
    </xf>
    <xf numFmtId="183" fontId="26" fillId="0" borderId="17" xfId="3" applyNumberFormat="1" applyFont="1" applyBorder="1" applyAlignment="1">
      <alignment horizontal="center" vertical="center"/>
    </xf>
    <xf numFmtId="183" fontId="26" fillId="0" borderId="1" xfId="3" applyNumberFormat="1" applyFont="1" applyBorder="1" applyAlignment="1">
      <alignment horizontal="center" vertical="center"/>
    </xf>
    <xf numFmtId="183" fontId="26" fillId="0" borderId="29" xfId="3" applyNumberFormat="1" applyFont="1" applyBorder="1" applyAlignment="1">
      <alignment horizontal="center" vertical="center"/>
    </xf>
  </cellXfs>
  <cellStyles count="6">
    <cellStyle name="百分比" xfId="3" builtinId="5"/>
    <cellStyle name="常规" xfId="0" builtinId="0"/>
    <cellStyle name="千分位_uv-data" xfId="4" xr:uid="{A1596166-1496-43BD-8EF6-B1F14775E4B4}"/>
    <cellStyle name="千位分隔" xfId="1" builtinId="3"/>
    <cellStyle name="千位分隔[0]" xfId="2" builtinId="6"/>
    <cellStyle name="一般_CE_General_Purpose_11-7-94" xfId="5" xr:uid="{7B427DEE-D434-4897-B319-2720DE0B3A3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450160</xdr:colOff>
          <xdr:row>0</xdr:row>
          <xdr:rowOff>57150</xdr:rowOff>
        </xdr:from>
        <xdr:to>
          <xdr:col>5</xdr:col>
          <xdr:colOff>514350</xdr:colOff>
          <xdr:row>0</xdr:row>
          <xdr:rowOff>304800</xdr:rowOff>
        </xdr:to>
        <xdr:sp macro="" textlink="">
          <xdr:nvSpPr>
            <xdr:cNvPr id="20485" name="ComboBox1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B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31059</xdr:colOff>
          <xdr:row>0</xdr:row>
          <xdr:rowOff>39344</xdr:rowOff>
        </xdr:from>
        <xdr:to>
          <xdr:col>10</xdr:col>
          <xdr:colOff>248477</xdr:colOff>
          <xdr:row>1</xdr:row>
          <xdr:rowOff>277469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GrpSpPr/>
          </xdr:nvGrpSpPr>
          <xdr:grpSpPr>
            <a:xfrm>
              <a:off x="5447885" y="39344"/>
              <a:ext cx="2793309" cy="552864"/>
              <a:chOff x="4410075" y="47625"/>
              <a:chExt cx="2705100" cy="552450"/>
            </a:xfrm>
          </xdr:grpSpPr>
          <xdr:sp macro="" textlink="">
            <xdr:nvSpPr>
              <xdr:cNvPr id="20528" name="Button 48" hidden="1">
                <a:extLst>
                  <a:ext uri="{63B3BB69-23CF-44E3-9099-C40C66FF867C}">
                    <a14:compatExt spid="_x0000_s20528"/>
                  </a:ext>
                  <a:ext uri="{FF2B5EF4-FFF2-40B4-BE49-F238E27FC236}">
                    <a16:creationId xmlns:a16="http://schemas.microsoft.com/office/drawing/2014/main" id="{00000000-0008-0000-0B00-000030500000}"/>
                  </a:ext>
                </a:extLst>
              </xdr:cNvPr>
              <xdr:cNvSpPr/>
            </xdr:nvSpPr>
            <xdr:spPr bwMode="auto">
              <a:xfrm>
                <a:off x="4410075" y="47625"/>
                <a:ext cx="904875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生成报告</a:t>
                </a:r>
              </a:p>
              <a:p>
                <a:pPr algn="ctr" rtl="0">
                  <a:defRPr sz="1000"/>
                </a:pP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  <xdr:sp macro="" textlink="">
            <xdr:nvSpPr>
              <xdr:cNvPr id="20533" name="Button 53" hidden="1">
                <a:extLst>
                  <a:ext uri="{63B3BB69-23CF-44E3-9099-C40C66FF867C}">
                    <a14:compatExt spid="_x0000_s20533"/>
                  </a:ext>
                  <a:ext uri="{FF2B5EF4-FFF2-40B4-BE49-F238E27FC236}">
                    <a16:creationId xmlns:a16="http://schemas.microsoft.com/office/drawing/2014/main" id="{00000000-0008-0000-0B00-000035500000}"/>
                  </a:ext>
                </a:extLst>
              </xdr:cNvPr>
              <xdr:cNvSpPr/>
            </xdr:nvSpPr>
            <xdr:spPr bwMode="auto">
              <a:xfrm>
                <a:off x="6210300" y="47625"/>
                <a:ext cx="904875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清除报告</a:t>
                </a:r>
              </a:p>
              <a:p>
                <a:pPr algn="ctr" rtl="0">
                  <a:defRPr sz="1000"/>
                </a:pP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  <xdr:sp macro="" textlink="">
            <xdr:nvSpPr>
              <xdr:cNvPr id="20534" name="Button 54" hidden="1">
                <a:extLst>
                  <a:ext uri="{63B3BB69-23CF-44E3-9099-C40C66FF867C}">
                    <a14:compatExt spid="_x0000_s20534"/>
                  </a:ext>
                  <a:ext uri="{FF2B5EF4-FFF2-40B4-BE49-F238E27FC236}">
                    <a16:creationId xmlns:a16="http://schemas.microsoft.com/office/drawing/2014/main" id="{00000000-0008-0000-0B00-000036500000}"/>
                  </a:ext>
                </a:extLst>
              </xdr:cNvPr>
              <xdr:cNvSpPr/>
            </xdr:nvSpPr>
            <xdr:spPr bwMode="auto">
              <a:xfrm>
                <a:off x="6200775" y="371475"/>
                <a:ext cx="9144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打印报告</a:t>
                </a:r>
              </a:p>
              <a:p>
                <a:pPr algn="ctr" rtl="0">
                  <a:defRPr sz="1000"/>
                </a:pP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  <xdr:sp macro="" textlink="">
            <xdr:nvSpPr>
              <xdr:cNvPr id="20590" name="Button 110" hidden="1">
                <a:extLst>
                  <a:ext uri="{63B3BB69-23CF-44E3-9099-C40C66FF867C}">
                    <a14:compatExt spid="_x0000_s20590"/>
                  </a:ext>
                  <a:ext uri="{FF2B5EF4-FFF2-40B4-BE49-F238E27FC236}">
                    <a16:creationId xmlns:a16="http://schemas.microsoft.com/office/drawing/2014/main" id="{00000000-0008-0000-0B00-00006E500000}"/>
                  </a:ext>
                </a:extLst>
              </xdr:cNvPr>
              <xdr:cNvSpPr/>
            </xdr:nvSpPr>
            <xdr:spPr bwMode="auto">
              <a:xfrm>
                <a:off x="4410075" y="371475"/>
                <a:ext cx="904875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显示/隐藏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450160</xdr:colOff>
          <xdr:row>1</xdr:row>
          <xdr:rowOff>38100</xdr:rowOff>
        </xdr:from>
        <xdr:to>
          <xdr:col>4</xdr:col>
          <xdr:colOff>347041</xdr:colOff>
          <xdr:row>1</xdr:row>
          <xdr:rowOff>285750</xdr:rowOff>
        </xdr:to>
        <xdr:sp macro="" textlink="">
          <xdr:nvSpPr>
            <xdr:cNvPr id="20591" name="ComboBox2" hidden="1">
              <a:extLst>
                <a:ext uri="{63B3BB69-23CF-44E3-9099-C40C66FF867C}">
                  <a14:compatExt spid="_x0000_s20591"/>
                </a:ext>
                <a:ext uri="{FF2B5EF4-FFF2-40B4-BE49-F238E27FC236}">
                  <a16:creationId xmlns:a16="http://schemas.microsoft.com/office/drawing/2014/main" id="{00000000-0008-0000-0B00-00006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471703</xdr:colOff>
          <xdr:row>1</xdr:row>
          <xdr:rowOff>45969</xdr:rowOff>
        </xdr:from>
        <xdr:to>
          <xdr:col>6</xdr:col>
          <xdr:colOff>687466</xdr:colOff>
          <xdr:row>1</xdr:row>
          <xdr:rowOff>294447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pSpPr/>
          </xdr:nvGrpSpPr>
          <xdr:grpSpPr>
            <a:xfrm>
              <a:off x="2931638" y="360708"/>
              <a:ext cx="2029654" cy="248478"/>
              <a:chOff x="2973037" y="360708"/>
              <a:chExt cx="1855723" cy="248478"/>
            </a:xfrm>
          </xdr:grpSpPr>
          <xdr:sp macro="" textlink="">
            <xdr:nvSpPr>
              <xdr:cNvPr id="20601" name="OptionButton1" descr="均匀样品" hidden="1">
                <a:extLst>
                  <a:ext uri="{63B3BB69-23CF-44E3-9099-C40C66FF867C}">
                    <a14:compatExt spid="_x0000_s20601"/>
                  </a:ext>
                  <a:ext uri="{FF2B5EF4-FFF2-40B4-BE49-F238E27FC236}">
                    <a16:creationId xmlns:a16="http://schemas.microsoft.com/office/drawing/2014/main" id="{00000000-0008-0000-0B00-000079500000}"/>
                  </a:ext>
                </a:extLst>
              </xdr:cNvPr>
              <xdr:cNvSpPr/>
            </xdr:nvSpPr>
            <xdr:spPr bwMode="auto">
              <a:xfrm>
                <a:off x="2973037" y="360708"/>
                <a:ext cx="870088" cy="24847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02" name="OptionButton2" descr="非均匀样品" hidden="1">
                <a:extLst>
                  <a:ext uri="{63B3BB69-23CF-44E3-9099-C40C66FF867C}">
                    <a14:compatExt spid="_x0000_s20602"/>
                  </a:ext>
                  <a:ext uri="{FF2B5EF4-FFF2-40B4-BE49-F238E27FC236}">
                    <a16:creationId xmlns:a16="http://schemas.microsoft.com/office/drawing/2014/main" id="{00000000-0008-0000-0B00-00007A500000}"/>
                  </a:ext>
                </a:extLst>
              </xdr:cNvPr>
              <xdr:cNvSpPr/>
            </xdr:nvSpPr>
            <xdr:spPr bwMode="auto">
              <a:xfrm>
                <a:off x="3836088" y="361122"/>
                <a:ext cx="992672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3</xdr:col>
          <xdr:colOff>218661</xdr:colOff>
          <xdr:row>11</xdr:row>
          <xdr:rowOff>113886</xdr:rowOff>
        </xdr:to>
        <xdr:sp macro="" textlink="">
          <xdr:nvSpPr>
            <xdr:cNvPr id="20603" name="Check Box 1" hidden="1">
              <a:extLst>
                <a:ext uri="{63B3BB69-23CF-44E3-9099-C40C66FF867C}">
                  <a14:compatExt spid="_x0000_s20603"/>
                </a:ext>
                <a:ext uri="{FF2B5EF4-FFF2-40B4-BE49-F238E27FC236}">
                  <a16:creationId xmlns:a16="http://schemas.microsoft.com/office/drawing/2014/main" id="{655F335A-151D-4C16-A572-C9E202543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AATCC 183-2014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10</xdr:row>
          <xdr:rowOff>0</xdr:rowOff>
        </xdr:from>
        <xdr:to>
          <xdr:col>4</xdr:col>
          <xdr:colOff>1103657</xdr:colOff>
          <xdr:row>11</xdr:row>
          <xdr:rowOff>113886</xdr:rowOff>
        </xdr:to>
        <xdr:sp macro="" textlink="">
          <xdr:nvSpPr>
            <xdr:cNvPr id="20604" name="Check Box 2" hidden="1">
              <a:extLst>
                <a:ext uri="{63B3BB69-23CF-44E3-9099-C40C66FF867C}">
                  <a14:compatExt spid="_x0000_s20604"/>
                </a:ext>
                <a:ext uri="{FF2B5EF4-FFF2-40B4-BE49-F238E27FC236}">
                  <a16:creationId xmlns:a16="http://schemas.microsoft.com/office/drawing/2014/main" id="{0590866E-789A-4868-A22C-795BB7C05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ASTM D6603-12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0</xdr:rowOff>
        </xdr:from>
        <xdr:to>
          <xdr:col>3</xdr:col>
          <xdr:colOff>219075</xdr:colOff>
          <xdr:row>9</xdr:row>
          <xdr:rowOff>114300</xdr:rowOff>
        </xdr:to>
        <xdr:sp macro="" textlink="">
          <xdr:nvSpPr>
            <xdr:cNvPr id="30727" name="Check Box 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C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AATCC 183-2014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0</xdr:rowOff>
        </xdr:from>
        <xdr:to>
          <xdr:col>4</xdr:col>
          <xdr:colOff>1104900</xdr:colOff>
          <xdr:row>9</xdr:row>
          <xdr:rowOff>114300</xdr:rowOff>
        </xdr:to>
        <xdr:sp macro="" textlink="">
          <xdr:nvSpPr>
            <xdr:cNvPr id="30728" name="Check Box 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C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ASTM D6603-12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7</xdr:row>
          <xdr:rowOff>76200</xdr:rowOff>
        </xdr:from>
        <xdr:to>
          <xdr:col>3</xdr:col>
          <xdr:colOff>238125</xdr:colOff>
          <xdr:row>9</xdr:row>
          <xdr:rowOff>28575</xdr:rowOff>
        </xdr:to>
        <xdr:sp macro="" textlink="">
          <xdr:nvSpPr>
            <xdr:cNvPr id="40961" name="Check Box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AS/NZS 4399:2017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0</xdr:rowOff>
        </xdr:from>
        <xdr:to>
          <xdr:col>3</xdr:col>
          <xdr:colOff>542925</xdr:colOff>
          <xdr:row>9</xdr:row>
          <xdr:rowOff>66675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E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EN 13758-1:2001+A1:2006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7</xdr:row>
          <xdr:rowOff>0</xdr:rowOff>
        </xdr:from>
        <xdr:to>
          <xdr:col>5</xdr:col>
          <xdr:colOff>390525</xdr:colOff>
          <xdr:row>9</xdr:row>
          <xdr:rowOff>66675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E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BS 8466:2006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7</xdr:row>
          <xdr:rowOff>9525</xdr:rowOff>
        </xdr:from>
        <xdr:to>
          <xdr:col>3</xdr:col>
          <xdr:colOff>152400</xdr:colOff>
          <xdr:row>9</xdr:row>
          <xdr:rowOff>76200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F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 GB/T 18830-2009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49191-CDDA-4495-867A-051C895FA6E9}">
  <sheetPr codeName="Sheet3"/>
  <dimension ref="A1:BB150"/>
  <sheetViews>
    <sheetView topLeftCell="H1" zoomScaleNormal="100" workbookViewId="0">
      <selection activeCell="L3" sqref="L3:O123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24" width="8" hidden="1" customWidth="1"/>
    <col min="25" max="26" width="9" hidden="1" customWidth="1"/>
    <col min="27" max="27" width="10.75" hidden="1" customWidth="1"/>
    <col min="28" max="40" width="9" hidden="1" customWidth="1"/>
  </cols>
  <sheetData>
    <row r="1" spans="1:54" ht="18" customHeight="1" thickBot="1" x14ac:dyDescent="0.35">
      <c r="A1" s="22"/>
      <c r="B1" s="22"/>
      <c r="C1" s="22"/>
      <c r="D1" s="22"/>
      <c r="E1" s="22"/>
      <c r="F1" s="22"/>
      <c r="G1" s="22"/>
      <c r="H1" s="36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19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</row>
    <row r="2" spans="1:54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7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22</v>
      </c>
      <c r="Y2" s="6"/>
      <c r="Z2" s="6"/>
      <c r="AA2" s="6"/>
      <c r="AB2" s="24"/>
      <c r="AC2" s="24"/>
      <c r="AD2" s="6" t="s">
        <v>21</v>
      </c>
      <c r="AE2" s="13" t="s">
        <v>37</v>
      </c>
      <c r="AF2" s="7" t="s">
        <v>38</v>
      </c>
      <c r="AG2" s="13"/>
      <c r="AH2" s="13"/>
      <c r="AI2" s="13"/>
      <c r="AJ2" s="13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13"/>
      <c r="BB2" s="13"/>
    </row>
    <row r="3" spans="1:54" ht="16.5" thickTop="1" x14ac:dyDescent="0.25">
      <c r="A3" s="2">
        <v>400</v>
      </c>
      <c r="B3" s="16">
        <f t="shared" ref="B3:B34" ca="1" si="0">IF(INDIRECT("J"&amp;ROW(B3)*2-3)/100&gt;0,INDIRECT("J"&amp;ROW(B3)*2-3)/100,0)</f>
        <v>0.02</v>
      </c>
      <c r="C3" s="16">
        <f t="shared" ref="C3:C34" ca="1" si="1">IF(INDIRECT("k"&amp;ROW(C3)*2-3)/100&gt;0,INDIRECT("k"&amp;ROW(C3)*2-3)/100,0)</f>
        <v>0.04</v>
      </c>
      <c r="D3" s="16">
        <f t="shared" ref="D3:D34" ca="1" si="2">IF(INDIRECT("L"&amp;ROW(D3)*2-3)/100&gt;0,INDIRECT("L"&amp;ROW(D3)*2-3)/100,0)</f>
        <v>0.05</v>
      </c>
      <c r="E3" s="16">
        <f t="shared" ref="E3:E34" ca="1" si="3">IF(INDIRECT("M"&amp;ROW(E3)*2-3)/100&gt;0,INDIRECT("M"&amp;ROW(E3)*2-3)/100,0)</f>
        <v>2.5000000000000001E-2</v>
      </c>
      <c r="F3" s="16">
        <f t="shared" ref="F3:F34" ca="1" si="4">IF(INDIRECT("N"&amp;ROW(F3)*2-3)/100&gt;0,INDIRECT("N"&amp;ROW(F3)*2-3)/100,0)</f>
        <v>0</v>
      </c>
      <c r="G3" s="16">
        <f t="shared" ref="G3:G34" ca="1" si="5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21">
        <v>400</v>
      </c>
      <c r="Q3" s="16">
        <f t="shared" ref="Q3:Q27" ca="1" si="6">IF(INDIRECT("J"&amp;ROW(Q3)*5-12)/100&gt;0,INDIRECT("J"&amp;ROW(Q3)*5-12)/100,0)</f>
        <v>0.02</v>
      </c>
      <c r="R3" s="16">
        <f t="shared" ref="R3:R27" ca="1" si="7">IF(INDIRECT("K"&amp;ROW(R3)*5-12)/100&gt;0,INDIRECT("K"&amp;ROW(R3)*5-12)/100,0)</f>
        <v>0.04</v>
      </c>
      <c r="S3" s="16">
        <f t="shared" ref="S3:S27" ca="1" si="8">IF(INDIRECT("L"&amp;ROW(S3)*5-12)/100&gt;0,INDIRECT("L"&amp;ROW(S3)*5-12)/100,0)</f>
        <v>0.05</v>
      </c>
      <c r="T3" s="16">
        <f t="shared" ref="T3:T27" ca="1" si="9">IF(INDIRECT("M"&amp;ROW(T3)*5-12)/100&gt;0,INDIRECT("M"&amp;ROW(T3)*5-12)/100,0)</f>
        <v>2.5000000000000001E-2</v>
      </c>
      <c r="U3" s="16">
        <f t="shared" ref="U3:U27" ca="1" si="10">IF(INDIRECT("N"&amp;ROW(U3)*5-12)/100&gt;0,INDIRECT("N"&amp;ROW(U3)*5-12)/100,0)</f>
        <v>0</v>
      </c>
      <c r="V3" s="16">
        <f t="shared" ref="V3:V27" ca="1" si="11">IF(INDIRECT("O"&amp;ROW(V3)*5-12)/100&gt;0,INDIRECT("O"&amp;ROW(V3)*5-12)/100,0)</f>
        <v>0</v>
      </c>
      <c r="W3" s="16"/>
      <c r="X3" s="6" t="s">
        <v>54</v>
      </c>
      <c r="Y3" s="9" t="s">
        <v>23</v>
      </c>
      <c r="Z3" s="12" t="s">
        <v>33</v>
      </c>
      <c r="AA3" s="22"/>
      <c r="AB3" s="6"/>
      <c r="AC3" s="6"/>
      <c r="AD3" s="22"/>
      <c r="AE3" s="22"/>
      <c r="AF3" s="8" t="s">
        <v>39</v>
      </c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</row>
    <row r="4" spans="1:54" ht="15.75" x14ac:dyDescent="0.25">
      <c r="A4" s="2">
        <v>398</v>
      </c>
      <c r="B4" s="16">
        <f t="shared" ca="1" si="0"/>
        <v>0.05</v>
      </c>
      <c r="C4" s="16">
        <f t="shared" ca="1" si="1"/>
        <v>0.05</v>
      </c>
      <c r="D4" s="16">
        <f t="shared" ca="1" si="2"/>
        <v>0.05</v>
      </c>
      <c r="E4" s="16">
        <f t="shared" ca="1" si="3"/>
        <v>0.01</v>
      </c>
      <c r="F4" s="16">
        <f t="shared" ca="1" si="4"/>
        <v>0.01</v>
      </c>
      <c r="G4" s="16">
        <f t="shared" ca="1" si="5"/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21">
        <v>395</v>
      </c>
      <c r="Q4" s="16">
        <f t="shared" ca="1" si="6"/>
        <v>0.04</v>
      </c>
      <c r="R4" s="16">
        <f t="shared" ca="1" si="7"/>
        <v>0.04</v>
      </c>
      <c r="S4" s="16">
        <f t="shared" ca="1" si="8"/>
        <v>0.05</v>
      </c>
      <c r="T4" s="16">
        <f t="shared" ca="1" si="9"/>
        <v>0.04</v>
      </c>
      <c r="U4" s="16">
        <f t="shared" ca="1" si="10"/>
        <v>0.04</v>
      </c>
      <c r="V4" s="16">
        <f t="shared" ca="1" si="11"/>
        <v>0.04</v>
      </c>
      <c r="W4" s="16"/>
      <c r="X4" s="6"/>
      <c r="Y4" s="6"/>
      <c r="Z4" s="8" t="s">
        <v>24</v>
      </c>
      <c r="AA4" s="22"/>
      <c r="AB4" s="6"/>
      <c r="AC4" s="6"/>
      <c r="AD4" s="14" t="s">
        <v>43</v>
      </c>
      <c r="AE4" s="6"/>
      <c r="AF4" s="6"/>
      <c r="AG4" s="6"/>
      <c r="AH4" s="6"/>
      <c r="AI4" s="6"/>
      <c r="AJ4" s="6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6"/>
      <c r="BB4" s="6"/>
    </row>
    <row r="5" spans="1:54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21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16"/>
      <c r="X5" s="6" t="s">
        <v>25</v>
      </c>
      <c r="Y5" s="6" t="s">
        <v>26</v>
      </c>
      <c r="Z5" s="6"/>
      <c r="AA5" s="23" t="s">
        <v>28</v>
      </c>
      <c r="AB5" s="23" t="s">
        <v>30</v>
      </c>
      <c r="AC5" s="6"/>
      <c r="AD5" s="6" t="s">
        <v>25</v>
      </c>
      <c r="AE5" s="6" t="s">
        <v>26</v>
      </c>
      <c r="AF5" s="6"/>
      <c r="AG5" s="6"/>
      <c r="AH5" s="6"/>
      <c r="AI5" s="6"/>
      <c r="AJ5" s="6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6"/>
      <c r="BB5" s="6"/>
    </row>
    <row r="6" spans="1:54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21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16"/>
      <c r="X6" s="6" t="s">
        <v>1</v>
      </c>
      <c r="Y6" s="6" t="s">
        <v>27</v>
      </c>
      <c r="Z6" s="6"/>
      <c r="AA6" s="23" t="s">
        <v>35</v>
      </c>
      <c r="AB6" s="23" t="s">
        <v>36</v>
      </c>
      <c r="AC6" s="6"/>
      <c r="AD6" s="6" t="s">
        <v>1</v>
      </c>
      <c r="AE6" s="6" t="s">
        <v>27</v>
      </c>
      <c r="AF6" s="6"/>
      <c r="AG6" s="6"/>
      <c r="AH6" s="6"/>
      <c r="AI6" s="6"/>
      <c r="AJ6" s="19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6"/>
      <c r="BB6" s="19"/>
    </row>
    <row r="7" spans="1:54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21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16"/>
      <c r="X7" s="25">
        <v>400</v>
      </c>
      <c r="Y7" s="26">
        <f t="shared" ref="Y7:Y38" ca="1" si="12">AVERAGE(B3:D3)</f>
        <v>3.6666666666666667E-2</v>
      </c>
      <c r="Z7" s="26">
        <f t="shared" ref="Z7:Z38" ca="1" si="13">AVERAGE(E3:G3)</f>
        <v>8.3333333333333332E-3</v>
      </c>
      <c r="AA7" s="27">
        <v>1.22E-4</v>
      </c>
      <c r="AB7" s="27">
        <v>1.01E-4</v>
      </c>
      <c r="AC7" s="22"/>
      <c r="AD7" s="6">
        <v>400</v>
      </c>
      <c r="AE7" s="38">
        <f t="shared" ref="AE7:AE38" ca="1" si="14">AVERAGE(Q30:S30)</f>
        <v>3.6666666666666667E-2</v>
      </c>
      <c r="AF7" s="39">
        <f t="shared" ref="AF7:AF38" ca="1" si="15">AVERAGE(T30:V30)</f>
        <v>8.3333333333333332E-3</v>
      </c>
      <c r="AG7" s="28"/>
      <c r="AH7" s="28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21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16"/>
      <c r="X8" s="25">
        <v>398</v>
      </c>
      <c r="Y8" s="26">
        <f t="shared" ca="1" si="12"/>
        <v>5.000000000000001E-2</v>
      </c>
      <c r="Z8" s="26">
        <f t="shared" ca="1" si="13"/>
        <v>0.01</v>
      </c>
      <c r="AA8" s="27">
        <v>1.2999999999999999E-4</v>
      </c>
      <c r="AB8" s="27">
        <v>8.0099999999999995E-5</v>
      </c>
      <c r="AC8" s="22"/>
      <c r="AD8" s="6">
        <v>399</v>
      </c>
      <c r="AE8" s="38">
        <f t="shared" ca="1" si="14"/>
        <v>4.3333333333333335E-2</v>
      </c>
      <c r="AF8" s="39">
        <f t="shared" ca="1" si="15"/>
        <v>0.02</v>
      </c>
      <c r="AG8" s="28"/>
      <c r="AH8" s="28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</row>
    <row r="9" spans="1:54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21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16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7">
        <v>1.3999999999999999E-4</v>
      </c>
      <c r="AB9" s="27">
        <v>6.8100000000000002E-5</v>
      </c>
      <c r="AC9" s="22"/>
      <c r="AD9" s="6">
        <v>398</v>
      </c>
      <c r="AE9" s="38">
        <f t="shared" ca="1" si="14"/>
        <v>5.000000000000001E-2</v>
      </c>
      <c r="AF9" s="39">
        <f t="shared" ca="1" si="15"/>
        <v>0.01</v>
      </c>
      <c r="AG9" s="28"/>
      <c r="AH9" s="28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</row>
    <row r="10" spans="1:54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21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16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7">
        <v>1.4999999999999999E-4</v>
      </c>
      <c r="AB10" s="27">
        <v>6.5500000000000006E-5</v>
      </c>
      <c r="AC10" s="22"/>
      <c r="AD10" s="6">
        <v>397</v>
      </c>
      <c r="AE10" s="38">
        <f t="shared" ca="1" si="14"/>
        <v>4.3333333333333335E-2</v>
      </c>
      <c r="AF10" s="39">
        <f t="shared" ca="1" si="15"/>
        <v>0.02</v>
      </c>
      <c r="AG10" s="28"/>
      <c r="AH10" s="28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</row>
    <row r="11" spans="1:54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21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16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7">
        <v>1.6000000000000001E-4</v>
      </c>
      <c r="AB11" s="27">
        <v>7.1600000000000006E-5</v>
      </c>
      <c r="AC11" s="22"/>
      <c r="AD11" s="6">
        <v>396</v>
      </c>
      <c r="AE11" s="38">
        <f t="shared" ca="1" si="14"/>
        <v>4.3333333333333335E-2</v>
      </c>
      <c r="AF11" s="39">
        <f t="shared" ca="1" si="15"/>
        <v>0.03</v>
      </c>
      <c r="AG11" s="28"/>
      <c r="AH11" s="28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</row>
    <row r="12" spans="1:54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21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16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7">
        <v>1.7200000000000001E-4</v>
      </c>
      <c r="AB12" s="27">
        <v>7.5699999999999997E-5</v>
      </c>
      <c r="AC12" s="22"/>
      <c r="AD12" s="6">
        <v>395</v>
      </c>
      <c r="AE12" s="38">
        <f t="shared" ca="1" si="14"/>
        <v>4.3333333333333335E-2</v>
      </c>
      <c r="AF12" s="39">
        <f t="shared" ca="1" si="15"/>
        <v>0.04</v>
      </c>
      <c r="AG12" s="28"/>
      <c r="AH12" s="28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</row>
    <row r="13" spans="1:54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21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16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7">
        <v>1.84E-4</v>
      </c>
      <c r="AB13" s="27">
        <v>6.7199999999999994E-5</v>
      </c>
      <c r="AC13" s="22"/>
      <c r="AD13" s="6">
        <v>394</v>
      </c>
      <c r="AE13" s="38">
        <f t="shared" ca="1" si="14"/>
        <v>4.3333333333333335E-2</v>
      </c>
      <c r="AF13" s="39">
        <f t="shared" ca="1" si="15"/>
        <v>0.02</v>
      </c>
      <c r="AG13" s="28"/>
      <c r="AH13" s="28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</row>
    <row r="14" spans="1:54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21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16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7">
        <v>1.9699999999999999E-4</v>
      </c>
      <c r="AB14" s="27">
        <v>6.2600000000000004E-5</v>
      </c>
      <c r="AC14" s="22"/>
      <c r="AD14" s="6">
        <v>393</v>
      </c>
      <c r="AE14" s="38">
        <f t="shared" ca="1" si="14"/>
        <v>4.3333333333333335E-2</v>
      </c>
      <c r="AF14" s="39">
        <f t="shared" ca="1" si="15"/>
        <v>5.000000000000001E-2</v>
      </c>
      <c r="AG14" s="28"/>
      <c r="AH14" s="28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</row>
    <row r="15" spans="1:54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16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7">
        <v>2.1100000000000001E-4</v>
      </c>
      <c r="AB15" s="27">
        <v>5.8499999999999999E-5</v>
      </c>
      <c r="AC15" s="22"/>
      <c r="AD15" s="6">
        <v>392</v>
      </c>
      <c r="AE15" s="38">
        <f t="shared" ca="1" si="14"/>
        <v>4.3333333333333335E-2</v>
      </c>
      <c r="AF15" s="39">
        <f t="shared" ca="1" si="15"/>
        <v>0.01</v>
      </c>
      <c r="AG15" s="28"/>
      <c r="AH15" s="28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</row>
    <row r="16" spans="1:54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16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7">
        <v>2.2599999999999999E-4</v>
      </c>
      <c r="AB16" s="27">
        <v>6.4200000000000002E-5</v>
      </c>
      <c r="AC16" s="22"/>
      <c r="AD16" s="6">
        <v>391</v>
      </c>
      <c r="AE16" s="38">
        <f t="shared" ca="1" si="14"/>
        <v>4.3333333333333335E-2</v>
      </c>
      <c r="AF16" s="39">
        <f t="shared" ca="1" si="15"/>
        <v>4.3214285714285705E-2</v>
      </c>
      <c r="AG16" s="28"/>
      <c r="AH16" s="28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</row>
    <row r="17" spans="1:54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16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7">
        <v>2.43E-4</v>
      </c>
      <c r="AB17" s="27">
        <v>7.5400000000000003E-5</v>
      </c>
      <c r="AC17" s="22"/>
      <c r="AD17" s="6">
        <v>390</v>
      </c>
      <c r="AE17" s="38">
        <f t="shared" ca="1" si="14"/>
        <v>4.3333333333333335E-2</v>
      </c>
      <c r="AF17" s="39">
        <f t="shared" ca="1" si="15"/>
        <v>0.01</v>
      </c>
      <c r="AG17" s="28"/>
      <c r="AH17" s="28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</row>
    <row r="18" spans="1:54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16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7">
        <v>2.5999999999999998E-4</v>
      </c>
      <c r="AB18" s="27">
        <v>7.4599999999999997E-5</v>
      </c>
      <c r="AC18" s="22"/>
      <c r="AD18" s="6">
        <v>389</v>
      </c>
      <c r="AE18" s="38">
        <f t="shared" ca="1" si="14"/>
        <v>4.3333333333333335E-2</v>
      </c>
      <c r="AF18" s="39">
        <f t="shared" ca="1" si="15"/>
        <v>0.01</v>
      </c>
      <c r="AG18" s="28"/>
      <c r="AH18" s="28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</row>
    <row r="19" spans="1:54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0.05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16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7">
        <v>2.7900000000000001E-4</v>
      </c>
      <c r="AB19" s="27">
        <v>6.6600000000000006E-5</v>
      </c>
      <c r="AC19" s="22"/>
      <c r="AD19" s="6">
        <v>388</v>
      </c>
      <c r="AE19" s="38">
        <f t="shared" ca="1" si="14"/>
        <v>4.3333333333333335E-2</v>
      </c>
      <c r="AF19" s="39">
        <f t="shared" ca="1" si="15"/>
        <v>0</v>
      </c>
      <c r="AG19" s="28"/>
      <c r="AH19" s="28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</row>
    <row r="20" spans="1:54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16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7">
        <v>2.99E-4</v>
      </c>
      <c r="AB20" s="27">
        <v>6.6099999999999994E-5</v>
      </c>
      <c r="AC20" s="22"/>
      <c r="AD20" s="6">
        <v>387</v>
      </c>
      <c r="AE20" s="38">
        <f t="shared" ca="1" si="14"/>
        <v>4.3333333333333335E-2</v>
      </c>
      <c r="AF20" s="39">
        <f t="shared" ca="1" si="15"/>
        <v>0.01</v>
      </c>
      <c r="AG20" s="28"/>
      <c r="AH20" s="28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</row>
    <row r="21" spans="1:54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16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7">
        <v>3.2000000000000003E-4</v>
      </c>
      <c r="AB21" s="27">
        <v>7.4999999999999993E-5</v>
      </c>
      <c r="AC21" s="22"/>
      <c r="AD21" s="6">
        <v>386</v>
      </c>
      <c r="AE21" s="38">
        <f t="shared" ca="1" si="14"/>
        <v>4.3333333333333335E-2</v>
      </c>
      <c r="AF21" s="39">
        <f t="shared" ca="1" si="15"/>
        <v>0.01</v>
      </c>
      <c r="AG21" s="28"/>
      <c r="AH21" s="28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</row>
    <row r="22" spans="1:54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16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7">
        <v>3.4299999999999999E-4</v>
      </c>
      <c r="AB22" s="27">
        <v>7.6600000000000005E-5</v>
      </c>
      <c r="AC22" s="22"/>
      <c r="AD22" s="6">
        <v>385</v>
      </c>
      <c r="AE22" s="38">
        <f t="shared" ca="1" si="14"/>
        <v>4.3333333333333335E-2</v>
      </c>
      <c r="AF22" s="39">
        <f t="shared" ca="1" si="15"/>
        <v>0.01</v>
      </c>
      <c r="AG22" s="28"/>
      <c r="AH22" s="28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</row>
    <row r="23" spans="1:54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16"/>
      <c r="X23" s="25">
        <v>368</v>
      </c>
      <c r="Y23" s="26">
        <f t="shared" ca="1" si="12"/>
        <v>5.000000000000001E-2</v>
      </c>
      <c r="Z23" s="26">
        <f t="shared" ca="1" si="13"/>
        <v>0.01</v>
      </c>
      <c r="AA23" s="27">
        <v>3.6699999999999998E-4</v>
      </c>
      <c r="AB23" s="27">
        <v>7.6199999999999995E-5</v>
      </c>
      <c r="AC23" s="22"/>
      <c r="AD23" s="6">
        <v>384</v>
      </c>
      <c r="AE23" s="38">
        <f t="shared" ca="1" si="14"/>
        <v>4.3333333333333335E-2</v>
      </c>
      <c r="AF23" s="39">
        <f t="shared" ca="1" si="15"/>
        <v>0.01</v>
      </c>
      <c r="AG23" s="28"/>
      <c r="AH23" s="28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</row>
    <row r="24" spans="1:54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16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7">
        <v>3.9399999999999998E-4</v>
      </c>
      <c r="AB24" s="27">
        <v>7.1799999999999997E-5</v>
      </c>
      <c r="AC24" s="22"/>
      <c r="AD24" s="6">
        <v>383</v>
      </c>
      <c r="AE24" s="38">
        <f t="shared" ca="1" si="14"/>
        <v>4.3333333333333335E-2</v>
      </c>
      <c r="AF24" s="39">
        <f t="shared" ca="1" si="15"/>
        <v>0.01</v>
      </c>
      <c r="AG24" s="28"/>
      <c r="AH24" s="28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</row>
    <row r="25" spans="1:54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16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7">
        <v>4.2200000000000001E-4</v>
      </c>
      <c r="AB25" s="27">
        <v>6.4800000000000003E-5</v>
      </c>
      <c r="AC25" s="22"/>
      <c r="AD25" s="6">
        <v>382</v>
      </c>
      <c r="AE25" s="38">
        <f t="shared" ca="1" si="14"/>
        <v>4.3333333333333335E-2</v>
      </c>
      <c r="AF25" s="39">
        <f t="shared" ca="1" si="15"/>
        <v>0.01</v>
      </c>
      <c r="AG25" s="28"/>
      <c r="AH25" s="28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</row>
    <row r="26" spans="1:54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16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7">
        <v>4.5199999999999998E-4</v>
      </c>
      <c r="AB26" s="27">
        <v>6.0000000000000002E-5</v>
      </c>
      <c r="AC26" s="22"/>
      <c r="AD26" s="6">
        <v>381</v>
      </c>
      <c r="AE26" s="38">
        <f t="shared" ca="1" si="14"/>
        <v>4.3333333333333335E-2</v>
      </c>
      <c r="AF26" s="39">
        <f t="shared" ca="1" si="15"/>
        <v>0.01</v>
      </c>
      <c r="AG26" s="28"/>
      <c r="AH26" s="28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</row>
    <row r="27" spans="1:54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16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7">
        <v>4.84E-4</v>
      </c>
      <c r="AB27" s="27">
        <v>5.6400000000000002E-5</v>
      </c>
      <c r="AC27" s="22"/>
      <c r="AD27" s="6">
        <v>380</v>
      </c>
      <c r="AE27" s="38">
        <f t="shared" ca="1" si="14"/>
        <v>4.3333333333333335E-2</v>
      </c>
      <c r="AF27" s="39">
        <f t="shared" ca="1" si="15"/>
        <v>0.01</v>
      </c>
      <c r="AG27" s="28"/>
      <c r="AH27" s="28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</row>
    <row r="28" spans="1:54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7">
        <v>5.1900000000000004E-4</v>
      </c>
      <c r="AB28" s="27">
        <v>5.38E-5</v>
      </c>
      <c r="AC28" s="22"/>
      <c r="AD28" s="6">
        <v>379</v>
      </c>
      <c r="AE28" s="38">
        <f t="shared" ca="1" si="14"/>
        <v>4.3333333333333335E-2</v>
      </c>
      <c r="AF28" s="39">
        <f t="shared" ca="1" si="15"/>
        <v>0.01</v>
      </c>
      <c r="AG28" s="28"/>
      <c r="AH28" s="28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</row>
    <row r="29" spans="1:54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7">
        <v>5.5599999999999996E-4</v>
      </c>
      <c r="AB29" s="27">
        <v>6.0600000000000003E-5</v>
      </c>
      <c r="AC29" s="22"/>
      <c r="AD29" s="6">
        <v>378</v>
      </c>
      <c r="AE29" s="38">
        <f t="shared" ca="1" si="14"/>
        <v>4.3333333333333335E-2</v>
      </c>
      <c r="AF29" s="39">
        <f t="shared" ca="1" si="15"/>
        <v>0.01</v>
      </c>
      <c r="AG29" s="28"/>
      <c r="AH29" s="28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</row>
    <row r="30" spans="1:54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1">
        <v>400</v>
      </c>
      <c r="Q30" s="16">
        <f t="shared" ref="Q30:Q61" ca="1" si="16">IF(INDIRECT("J"&amp;ROW(Q30)-27)/100&gt;0,INDIRECT("J"&amp;ROW(Q30)-27)/100,0)</f>
        <v>0.02</v>
      </c>
      <c r="R30" s="16">
        <f t="shared" ref="R30:R61" ca="1" si="17">IF(INDIRECT("K"&amp;ROW(R30)-27)/100&gt;0,INDIRECT("K"&amp;ROW(R30)-27)/100,0)</f>
        <v>0.04</v>
      </c>
      <c r="S30" s="16">
        <f t="shared" ref="S30:S61" ca="1" si="18">IF(INDIRECT("L"&amp;ROW(S30)-27)/100&gt;0,INDIRECT("L"&amp;ROW(S30)-27)/100,0)</f>
        <v>0.05</v>
      </c>
      <c r="T30" s="16">
        <f t="shared" ref="T30:T61" ca="1" si="19">IF(INDIRECT("M"&amp;ROW(T30)-27)/100&gt;0,INDIRECT("M"&amp;ROW(T30)-27)/100,0)</f>
        <v>2.5000000000000001E-2</v>
      </c>
      <c r="U30" s="16">
        <f t="shared" ref="U30:U61" ca="1" si="20">IF(INDIRECT("N"&amp;ROW(U30)-27)/100&gt;0,INDIRECT("N"&amp;ROW(U30)-27)/100,0)</f>
        <v>0</v>
      </c>
      <c r="V30" s="16">
        <f t="shared" ref="V30:V61" ca="1" si="2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7">
        <v>5.9599999999999996E-4</v>
      </c>
      <c r="AB30" s="27">
        <v>6.1299999999999999E-5</v>
      </c>
      <c r="AC30" s="22"/>
      <c r="AD30" s="6">
        <v>377</v>
      </c>
      <c r="AE30" s="38">
        <f t="shared" ca="1" si="14"/>
        <v>4.3333333333333335E-2</v>
      </c>
      <c r="AF30" s="39">
        <f t="shared" ca="1" si="15"/>
        <v>0.01</v>
      </c>
      <c r="AG30" s="28"/>
      <c r="AH30" s="28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</row>
    <row r="31" spans="1:54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1">
        <v>399</v>
      </c>
      <c r="Q31" s="16">
        <f t="shared" ca="1" si="16"/>
        <v>0.04</v>
      </c>
      <c r="R31" s="16">
        <f t="shared" ca="1" si="17"/>
        <v>0.04</v>
      </c>
      <c r="S31" s="16">
        <f t="shared" ca="1" si="18"/>
        <v>0.05</v>
      </c>
      <c r="T31" s="16">
        <f t="shared" ca="1" si="19"/>
        <v>0.02</v>
      </c>
      <c r="U31" s="16">
        <f t="shared" ca="1" si="20"/>
        <v>0.02</v>
      </c>
      <c r="V31" s="16">
        <f t="shared" ca="1" si="21"/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7">
        <v>6.38E-4</v>
      </c>
      <c r="AB31" s="27">
        <v>5.8900000000000002E-5</v>
      </c>
      <c r="AC31" s="22"/>
      <c r="AD31" s="6">
        <v>376</v>
      </c>
      <c r="AE31" s="38">
        <f t="shared" ca="1" si="14"/>
        <v>4.3333333333333335E-2</v>
      </c>
      <c r="AF31" s="39">
        <f t="shared" ca="1" si="15"/>
        <v>0.01</v>
      </c>
      <c r="AG31" s="28"/>
      <c r="AH31" s="28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</row>
    <row r="32" spans="1:54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1">
        <v>398</v>
      </c>
      <c r="Q32" s="16">
        <f t="shared" ca="1" si="16"/>
        <v>0.05</v>
      </c>
      <c r="R32" s="16">
        <f t="shared" ca="1" si="17"/>
        <v>0.05</v>
      </c>
      <c r="S32" s="16">
        <f t="shared" ca="1" si="18"/>
        <v>0.05</v>
      </c>
      <c r="T32" s="16">
        <f t="shared" ca="1" si="19"/>
        <v>0.01</v>
      </c>
      <c r="U32" s="16">
        <f t="shared" ca="1" si="20"/>
        <v>0.01</v>
      </c>
      <c r="V32" s="16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7">
        <v>6.8400000000000004E-4</v>
      </c>
      <c r="AB32" s="27">
        <v>5.5899999999999997E-5</v>
      </c>
      <c r="AC32" s="22"/>
      <c r="AD32" s="6">
        <v>375</v>
      </c>
      <c r="AE32" s="38">
        <f t="shared" ca="1" si="14"/>
        <v>4.3333333333333335E-2</v>
      </c>
      <c r="AF32" s="39">
        <f t="shared" ca="1" si="15"/>
        <v>0.01</v>
      </c>
      <c r="AG32" s="28"/>
      <c r="AH32" s="28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</row>
    <row r="33" spans="1:54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1">
        <v>397</v>
      </c>
      <c r="Q33" s="16">
        <f t="shared" ca="1" si="16"/>
        <v>0.04</v>
      </c>
      <c r="R33" s="16">
        <f t="shared" ca="1" si="17"/>
        <v>0.04</v>
      </c>
      <c r="S33" s="16">
        <f t="shared" ca="1" si="18"/>
        <v>0.05</v>
      </c>
      <c r="T33" s="16">
        <f t="shared" ca="1" si="19"/>
        <v>0.02</v>
      </c>
      <c r="U33" s="16">
        <f t="shared" ca="1" si="20"/>
        <v>0.02</v>
      </c>
      <c r="V33" s="16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7">
        <v>7.3300000000000004E-4</v>
      </c>
      <c r="AB33" s="27">
        <v>5.3699999999999997E-5</v>
      </c>
      <c r="AC33" s="22"/>
      <c r="AD33" s="6">
        <v>374</v>
      </c>
      <c r="AE33" s="38">
        <f t="shared" ca="1" si="14"/>
        <v>4.3333333333333335E-2</v>
      </c>
      <c r="AF33" s="39">
        <f t="shared" ca="1" si="15"/>
        <v>0.01</v>
      </c>
      <c r="AG33" s="28"/>
      <c r="AH33" s="28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</row>
    <row r="34" spans="1:54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1">
        <v>396</v>
      </c>
      <c r="Q34" s="16">
        <f t="shared" ca="1" si="16"/>
        <v>0.04</v>
      </c>
      <c r="R34" s="16">
        <f t="shared" ca="1" si="17"/>
        <v>0.04</v>
      </c>
      <c r="S34" s="16">
        <f t="shared" ca="1" si="18"/>
        <v>0.05</v>
      </c>
      <c r="T34" s="16">
        <f t="shared" ca="1" si="19"/>
        <v>0.03</v>
      </c>
      <c r="U34" s="16">
        <f t="shared" ca="1" si="20"/>
        <v>0.03</v>
      </c>
      <c r="V34" s="16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7">
        <v>7.85E-4</v>
      </c>
      <c r="AB34" s="27">
        <v>5.3399999999999997E-5</v>
      </c>
      <c r="AC34" s="22"/>
      <c r="AD34" s="6">
        <v>373</v>
      </c>
      <c r="AE34" s="38">
        <f t="shared" ca="1" si="14"/>
        <v>4.3333333333333335E-2</v>
      </c>
      <c r="AF34" s="39">
        <f t="shared" ca="1" si="15"/>
        <v>0.01</v>
      </c>
      <c r="AG34" s="28"/>
      <c r="AH34" s="28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</row>
    <row r="35" spans="1:54" ht="15.75" x14ac:dyDescent="0.25">
      <c r="A35" s="2">
        <v>336</v>
      </c>
      <c r="B35" s="16">
        <f t="shared" ref="B35:B63" ca="1" si="22">IF(INDIRECT("J"&amp;ROW(B35)*2-3)/100&gt;0,INDIRECT("J"&amp;ROW(B35)*2-3)/100,0)</f>
        <v>0.04</v>
      </c>
      <c r="C35" s="16">
        <f t="shared" ref="C35:C63" ca="1" si="23">IF(INDIRECT("k"&amp;ROW(C35)*2-3)/100&gt;0,INDIRECT("k"&amp;ROW(C35)*2-3)/100,0)</f>
        <v>0.04</v>
      </c>
      <c r="D35" s="16">
        <f t="shared" ref="D35:D63" ca="1" si="24">IF(INDIRECT("L"&amp;ROW(D35)*2-3)/100&gt;0,INDIRECT("L"&amp;ROW(D35)*2-3)/100,0)</f>
        <v>0.05</v>
      </c>
      <c r="E35" s="16">
        <f t="shared" ref="E35:E63" ca="1" si="25">IF(INDIRECT("M"&amp;ROW(E35)*2-3)/100&gt;0,INDIRECT("M"&amp;ROW(E35)*2-3)/100,0)</f>
        <v>0.01</v>
      </c>
      <c r="F35" s="16">
        <f t="shared" ref="F35:F63" ca="1" si="26">IF(INDIRECT("N"&amp;ROW(F35)*2-3)/100&gt;0,INDIRECT("N"&amp;ROW(F35)*2-3)/100,0)</f>
        <v>0.01</v>
      </c>
      <c r="G35" s="16">
        <f t="shared" ref="G35:G63" ca="1" si="27">IF(INDIRECT("O"&amp;ROW(G35)*2-3)/100&gt;0,INDIRECT("O"&amp;ROW(G35)*2-3)/100,0)</f>
        <v>0.01</v>
      </c>
      <c r="H35" s="11"/>
      <c r="I35" s="2">
        <v>368</v>
      </c>
      <c r="J35" s="18">
        <v>5</v>
      </c>
      <c r="K35" s="18">
        <v>5</v>
      </c>
      <c r="L35" s="18">
        <v>5</v>
      </c>
      <c r="M35" s="18">
        <v>1</v>
      </c>
      <c r="N35" s="18">
        <v>1</v>
      </c>
      <c r="O35" s="18">
        <v>1</v>
      </c>
      <c r="P35" s="21">
        <v>395</v>
      </c>
      <c r="Q35" s="16">
        <f t="shared" ca="1" si="16"/>
        <v>0.04</v>
      </c>
      <c r="R35" s="16">
        <f t="shared" ca="1" si="17"/>
        <v>0.04</v>
      </c>
      <c r="S35" s="16">
        <f t="shared" ca="1" si="18"/>
        <v>0.05</v>
      </c>
      <c r="T35" s="16">
        <f t="shared" ca="1" si="19"/>
        <v>0.04</v>
      </c>
      <c r="U35" s="16">
        <f t="shared" ca="1" si="20"/>
        <v>0.04</v>
      </c>
      <c r="V35" s="16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7">
        <v>8.4099999999999995E-4</v>
      </c>
      <c r="AB35" s="27">
        <v>5.3499999999999999E-5</v>
      </c>
      <c r="AC35" s="22"/>
      <c r="AD35" s="6">
        <v>372</v>
      </c>
      <c r="AE35" s="38">
        <f t="shared" ca="1" si="14"/>
        <v>4.3333333333333335E-2</v>
      </c>
      <c r="AF35" s="39">
        <f t="shared" ca="1" si="15"/>
        <v>0.01</v>
      </c>
      <c r="AG35" s="28"/>
      <c r="AH35" s="28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</row>
    <row r="36" spans="1:54" ht="15.75" x14ac:dyDescent="0.25">
      <c r="A36" s="2">
        <v>334</v>
      </c>
      <c r="B36" s="16">
        <f t="shared" ca="1" si="22"/>
        <v>0.04</v>
      </c>
      <c r="C36" s="16">
        <f t="shared" ca="1" si="23"/>
        <v>0.04</v>
      </c>
      <c r="D36" s="16">
        <f t="shared" ca="1" si="24"/>
        <v>0.05</v>
      </c>
      <c r="E36" s="16">
        <f t="shared" ca="1" si="25"/>
        <v>0.01</v>
      </c>
      <c r="F36" s="16">
        <f t="shared" ca="1" si="26"/>
        <v>0.01</v>
      </c>
      <c r="G36" s="16">
        <f t="shared" ca="1" si="27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1">
        <v>394</v>
      </c>
      <c r="Q36" s="16">
        <f t="shared" ca="1" si="16"/>
        <v>0.04</v>
      </c>
      <c r="R36" s="16">
        <f t="shared" ca="1" si="17"/>
        <v>0.04</v>
      </c>
      <c r="S36" s="16">
        <f t="shared" ca="1" si="18"/>
        <v>0.05</v>
      </c>
      <c r="T36" s="16">
        <f t="shared" ca="1" si="19"/>
        <v>0.02</v>
      </c>
      <c r="U36" s="16">
        <f t="shared" ca="1" si="20"/>
        <v>0.02</v>
      </c>
      <c r="V36" s="16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7">
        <v>9.0200000000000002E-4</v>
      </c>
      <c r="AB36" s="27">
        <v>5.5899999999999997E-5</v>
      </c>
      <c r="AC36" s="22"/>
      <c r="AD36" s="6">
        <v>371</v>
      </c>
      <c r="AE36" s="38">
        <f t="shared" ca="1" si="14"/>
        <v>4.3333333333333335E-2</v>
      </c>
      <c r="AF36" s="39">
        <f t="shared" ca="1" si="15"/>
        <v>0.01</v>
      </c>
      <c r="AG36" s="28"/>
      <c r="AH36" s="28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</row>
    <row r="37" spans="1:54" ht="15.75" x14ac:dyDescent="0.25">
      <c r="A37" s="2">
        <v>332</v>
      </c>
      <c r="B37" s="16">
        <f t="shared" ca="1" si="22"/>
        <v>0.04</v>
      </c>
      <c r="C37" s="16">
        <f t="shared" ca="1" si="23"/>
        <v>0.04</v>
      </c>
      <c r="D37" s="16">
        <f t="shared" ca="1" si="24"/>
        <v>0.05</v>
      </c>
      <c r="E37" s="16">
        <f t="shared" ca="1" si="25"/>
        <v>0.01</v>
      </c>
      <c r="F37" s="16">
        <f t="shared" ca="1" si="26"/>
        <v>0.01</v>
      </c>
      <c r="G37" s="16">
        <f t="shared" ca="1" si="27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1">
        <v>393</v>
      </c>
      <c r="Q37" s="16">
        <f t="shared" ca="1" si="16"/>
        <v>0.04</v>
      </c>
      <c r="R37" s="16">
        <f t="shared" ca="1" si="17"/>
        <v>0.04</v>
      </c>
      <c r="S37" s="16">
        <f t="shared" ca="1" si="18"/>
        <v>0.05</v>
      </c>
      <c r="T37" s="16">
        <f t="shared" ca="1" si="19"/>
        <v>0.05</v>
      </c>
      <c r="U37" s="16">
        <f t="shared" ca="1" si="20"/>
        <v>0.05</v>
      </c>
      <c r="V37" s="16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7">
        <v>9.6599999999999995E-4</v>
      </c>
      <c r="AB37" s="27">
        <v>5.3900000000000002E-5</v>
      </c>
      <c r="AC37" s="22"/>
      <c r="AD37" s="6">
        <v>370</v>
      </c>
      <c r="AE37" s="38">
        <f t="shared" ca="1" si="14"/>
        <v>4.3333333333333335E-2</v>
      </c>
      <c r="AF37" s="39">
        <f t="shared" ca="1" si="15"/>
        <v>0.01</v>
      </c>
      <c r="AG37" s="28"/>
      <c r="AH37" s="28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</row>
    <row r="38" spans="1:54" ht="15.75" x14ac:dyDescent="0.25">
      <c r="A38" s="2">
        <v>330</v>
      </c>
      <c r="B38" s="16">
        <f t="shared" ca="1" si="22"/>
        <v>0.04</v>
      </c>
      <c r="C38" s="16">
        <f t="shared" ca="1" si="23"/>
        <v>0.04</v>
      </c>
      <c r="D38" s="16">
        <f t="shared" ca="1" si="24"/>
        <v>0.05</v>
      </c>
      <c r="E38" s="16">
        <f t="shared" ca="1" si="25"/>
        <v>0.01</v>
      </c>
      <c r="F38" s="16">
        <f t="shared" ca="1" si="26"/>
        <v>0.01</v>
      </c>
      <c r="G38" s="16">
        <f t="shared" ca="1" si="27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1">
        <v>392</v>
      </c>
      <c r="Q38" s="16">
        <f t="shared" ca="1" si="16"/>
        <v>0.04</v>
      </c>
      <c r="R38" s="16">
        <f t="shared" ca="1" si="17"/>
        <v>0.04</v>
      </c>
      <c r="S38" s="16">
        <f t="shared" ca="1" si="18"/>
        <v>0.05</v>
      </c>
      <c r="T38" s="16">
        <f t="shared" ca="1" si="19"/>
        <v>0.01</v>
      </c>
      <c r="U38" s="16">
        <f t="shared" ca="1" si="20"/>
        <v>0.01</v>
      </c>
      <c r="V38" s="16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7">
        <v>1.0399999999999999E-3</v>
      </c>
      <c r="AB38" s="27">
        <v>4.99E-5</v>
      </c>
      <c r="AC38" s="22"/>
      <c r="AD38" s="6">
        <v>369</v>
      </c>
      <c r="AE38" s="38">
        <f t="shared" ca="1" si="14"/>
        <v>4.3333333333333335E-2</v>
      </c>
      <c r="AF38" s="39">
        <f t="shared" ca="1" si="15"/>
        <v>0.01</v>
      </c>
      <c r="AG38" s="28"/>
      <c r="AH38" s="28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</row>
    <row r="39" spans="1:54" ht="15.75" x14ac:dyDescent="0.25">
      <c r="A39" s="2">
        <v>328</v>
      </c>
      <c r="B39" s="16">
        <f t="shared" ca="1" si="22"/>
        <v>0.04</v>
      </c>
      <c r="C39" s="16">
        <f t="shared" ca="1" si="23"/>
        <v>0.04</v>
      </c>
      <c r="D39" s="16">
        <f t="shared" ca="1" si="24"/>
        <v>0.05</v>
      </c>
      <c r="E39" s="16">
        <f t="shared" ca="1" si="25"/>
        <v>0.01</v>
      </c>
      <c r="F39" s="16">
        <f t="shared" ca="1" si="26"/>
        <v>0.01</v>
      </c>
      <c r="G39" s="16">
        <f t="shared" ca="1" si="27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1">
        <v>391</v>
      </c>
      <c r="Q39" s="16">
        <f t="shared" ca="1" si="16"/>
        <v>0.04</v>
      </c>
      <c r="R39" s="16">
        <f t="shared" ca="1" si="17"/>
        <v>0.04</v>
      </c>
      <c r="S39" s="16">
        <f t="shared" ca="1" si="18"/>
        <v>0.05</v>
      </c>
      <c r="T39" s="16">
        <f t="shared" ca="1" si="19"/>
        <v>4.3214285714285705E-2</v>
      </c>
      <c r="U39" s="16">
        <f t="shared" ca="1" si="20"/>
        <v>4.3214285714285705E-2</v>
      </c>
      <c r="V39" s="16">
        <f t="shared" ca="1" si="21"/>
        <v>4.3214285714285705E-2</v>
      </c>
      <c r="W39" s="22"/>
      <c r="X39" s="25">
        <v>336</v>
      </c>
      <c r="Y39" s="26">
        <f t="shared" ref="Y39:Y67" ca="1" si="28">AVERAGE(B35:D35)</f>
        <v>4.3333333333333335E-2</v>
      </c>
      <c r="Z39" s="26">
        <f t="shared" ref="Z39:Z67" ca="1" si="29">AVERAGE(E35:G35)</f>
        <v>0.01</v>
      </c>
      <c r="AA39" s="27">
        <v>1.1100000000000001E-3</v>
      </c>
      <c r="AB39" s="27">
        <v>5.0399999999999999E-5</v>
      </c>
      <c r="AC39" s="22"/>
      <c r="AD39" s="6">
        <v>368</v>
      </c>
      <c r="AE39" s="38">
        <f t="shared" ref="AE39:AE70" ca="1" si="30">AVERAGE(Q62:S62)</f>
        <v>5.000000000000001E-2</v>
      </c>
      <c r="AF39" s="39">
        <f t="shared" ref="AF39:AF70" ca="1" si="31">AVERAGE(T62:V62)</f>
        <v>0.01</v>
      </c>
      <c r="AG39" s="28"/>
      <c r="AH39" s="28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</row>
    <row r="40" spans="1:54" ht="15.75" x14ac:dyDescent="0.25">
      <c r="A40" s="2">
        <v>326</v>
      </c>
      <c r="B40" s="16">
        <f t="shared" ca="1" si="22"/>
        <v>0.04</v>
      </c>
      <c r="C40" s="16">
        <f t="shared" ca="1" si="23"/>
        <v>0.04</v>
      </c>
      <c r="D40" s="16">
        <f t="shared" ca="1" si="24"/>
        <v>0.05</v>
      </c>
      <c r="E40" s="16">
        <f t="shared" ca="1" si="25"/>
        <v>0.01</v>
      </c>
      <c r="F40" s="16">
        <f t="shared" ca="1" si="26"/>
        <v>0.01</v>
      </c>
      <c r="G40" s="16">
        <f t="shared" ca="1" si="27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1">
        <v>390</v>
      </c>
      <c r="Q40" s="16">
        <f t="shared" ca="1" si="16"/>
        <v>0.04</v>
      </c>
      <c r="R40" s="16">
        <f t="shared" ca="1" si="17"/>
        <v>0.04</v>
      </c>
      <c r="S40" s="16">
        <f t="shared" ca="1" si="18"/>
        <v>0.05</v>
      </c>
      <c r="T40" s="16">
        <f t="shared" ca="1" si="19"/>
        <v>0.01</v>
      </c>
      <c r="U40" s="16">
        <f t="shared" ca="1" si="20"/>
        <v>0.01</v>
      </c>
      <c r="V40" s="16">
        <f t="shared" ca="1" si="21"/>
        <v>0.01</v>
      </c>
      <c r="W40" s="22"/>
      <c r="X40" s="25">
        <v>334</v>
      </c>
      <c r="Y40" s="26">
        <f t="shared" ca="1" si="28"/>
        <v>4.3333333333333335E-2</v>
      </c>
      <c r="Z40" s="26">
        <f t="shared" ca="1" si="29"/>
        <v>0.01</v>
      </c>
      <c r="AA40" s="27">
        <v>1.1900000000000001E-3</v>
      </c>
      <c r="AB40" s="27">
        <v>5.2299999999999997E-5</v>
      </c>
      <c r="AC40" s="22"/>
      <c r="AD40" s="6">
        <v>367</v>
      </c>
      <c r="AE40" s="38">
        <f t="shared" ca="1" si="30"/>
        <v>4.3333333333333335E-2</v>
      </c>
      <c r="AF40" s="39">
        <f t="shared" ca="1" si="31"/>
        <v>0.01</v>
      </c>
      <c r="AG40" s="28"/>
      <c r="AH40" s="28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</row>
    <row r="41" spans="1:54" ht="15.75" x14ac:dyDescent="0.25">
      <c r="A41" s="2">
        <v>324</v>
      </c>
      <c r="B41" s="16">
        <f t="shared" ca="1" si="22"/>
        <v>0.04</v>
      </c>
      <c r="C41" s="16">
        <f t="shared" ca="1" si="23"/>
        <v>0.04</v>
      </c>
      <c r="D41" s="16">
        <f t="shared" ca="1" si="24"/>
        <v>0.05</v>
      </c>
      <c r="E41" s="16">
        <f t="shared" ca="1" si="25"/>
        <v>0.01</v>
      </c>
      <c r="F41" s="16">
        <f t="shared" ca="1" si="26"/>
        <v>0.01</v>
      </c>
      <c r="G41" s="16">
        <f t="shared" ca="1" si="27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1">
        <v>389</v>
      </c>
      <c r="Q41" s="16">
        <f t="shared" ca="1" si="16"/>
        <v>0.04</v>
      </c>
      <c r="R41" s="16">
        <f t="shared" ca="1" si="17"/>
        <v>0.04</v>
      </c>
      <c r="S41" s="16">
        <f t="shared" ca="1" si="18"/>
        <v>0.05</v>
      </c>
      <c r="T41" s="16">
        <f t="shared" ca="1" si="19"/>
        <v>0.01</v>
      </c>
      <c r="U41" s="16">
        <f t="shared" ca="1" si="20"/>
        <v>0.01</v>
      </c>
      <c r="V41" s="16">
        <f t="shared" ca="1" si="21"/>
        <v>0.01</v>
      </c>
      <c r="W41" s="22"/>
      <c r="X41" s="25">
        <v>332</v>
      </c>
      <c r="Y41" s="26">
        <f t="shared" ca="1" si="28"/>
        <v>4.3333333333333335E-2</v>
      </c>
      <c r="Z41" s="26">
        <f t="shared" ca="1" si="29"/>
        <v>0.01</v>
      </c>
      <c r="AA41" s="27">
        <v>1.2700000000000001E-3</v>
      </c>
      <c r="AB41" s="27">
        <v>5.3300000000000001E-5</v>
      </c>
      <c r="AC41" s="22"/>
      <c r="AD41" s="6">
        <v>366</v>
      </c>
      <c r="AE41" s="38">
        <f t="shared" ca="1" si="30"/>
        <v>4.3333333333333335E-2</v>
      </c>
      <c r="AF41" s="39">
        <f t="shared" ca="1" si="31"/>
        <v>0.01</v>
      </c>
      <c r="AG41" s="28"/>
      <c r="AH41" s="28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</row>
    <row r="42" spans="1:54" ht="15.75" x14ac:dyDescent="0.25">
      <c r="A42" s="2">
        <v>322</v>
      </c>
      <c r="B42" s="16">
        <f t="shared" ca="1" si="22"/>
        <v>0.04</v>
      </c>
      <c r="C42" s="16">
        <f t="shared" ca="1" si="23"/>
        <v>0.04</v>
      </c>
      <c r="D42" s="16">
        <f t="shared" ca="1" si="24"/>
        <v>0.05</v>
      </c>
      <c r="E42" s="16">
        <f t="shared" ca="1" si="25"/>
        <v>0.01</v>
      </c>
      <c r="F42" s="16">
        <f t="shared" ca="1" si="26"/>
        <v>0.01</v>
      </c>
      <c r="G42" s="16">
        <f t="shared" ca="1" si="27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1">
        <v>388</v>
      </c>
      <c r="Q42" s="16">
        <f t="shared" ca="1" si="16"/>
        <v>0.04</v>
      </c>
      <c r="R42" s="16">
        <f t="shared" ca="1" si="17"/>
        <v>0.04</v>
      </c>
      <c r="S42" s="16">
        <f t="shared" ca="1" si="18"/>
        <v>0.05</v>
      </c>
      <c r="T42" s="16">
        <f t="shared" ca="1" si="19"/>
        <v>0</v>
      </c>
      <c r="U42" s="16">
        <f t="shared" ca="1" si="20"/>
        <v>0</v>
      </c>
      <c r="V42" s="16">
        <f t="shared" ca="1" si="21"/>
        <v>0</v>
      </c>
      <c r="W42" s="22"/>
      <c r="X42" s="25">
        <v>330</v>
      </c>
      <c r="Y42" s="26">
        <f t="shared" ca="1" si="28"/>
        <v>4.3333333333333335E-2</v>
      </c>
      <c r="Z42" s="26">
        <f t="shared" ca="1" si="29"/>
        <v>0.01</v>
      </c>
      <c r="AA42" s="27">
        <v>1.3600000000000001E-3</v>
      </c>
      <c r="AB42" s="27">
        <v>5.3199999999999999E-5</v>
      </c>
      <c r="AC42" s="22"/>
      <c r="AD42" s="6">
        <v>365</v>
      </c>
      <c r="AE42" s="38">
        <f t="shared" ca="1" si="30"/>
        <v>4.3333333333333335E-2</v>
      </c>
      <c r="AF42" s="39">
        <f t="shared" ca="1" si="31"/>
        <v>0.01</v>
      </c>
      <c r="AG42" s="28"/>
      <c r="AH42" s="28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</row>
    <row r="43" spans="1:54" ht="15.75" x14ac:dyDescent="0.25">
      <c r="A43" s="2">
        <v>320</v>
      </c>
      <c r="B43" s="16">
        <f t="shared" ca="1" si="22"/>
        <v>0.04</v>
      </c>
      <c r="C43" s="16">
        <f t="shared" ca="1" si="23"/>
        <v>0.04</v>
      </c>
      <c r="D43" s="16">
        <f t="shared" ca="1" si="24"/>
        <v>0.05</v>
      </c>
      <c r="E43" s="16">
        <f t="shared" ca="1" si="25"/>
        <v>0.01</v>
      </c>
      <c r="F43" s="16">
        <f t="shared" ca="1" si="26"/>
        <v>0.01</v>
      </c>
      <c r="G43" s="16">
        <f t="shared" ca="1" si="27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1">
        <v>387</v>
      </c>
      <c r="Q43" s="16">
        <f t="shared" ca="1" si="16"/>
        <v>0.04</v>
      </c>
      <c r="R43" s="16">
        <f t="shared" ca="1" si="17"/>
        <v>0.04</v>
      </c>
      <c r="S43" s="16">
        <f t="shared" ca="1" si="18"/>
        <v>0.05</v>
      </c>
      <c r="T43" s="16">
        <f t="shared" ca="1" si="19"/>
        <v>0.01</v>
      </c>
      <c r="U43" s="16">
        <f t="shared" ca="1" si="20"/>
        <v>0.01</v>
      </c>
      <c r="V43" s="16">
        <f t="shared" ca="1" si="21"/>
        <v>0.01</v>
      </c>
      <c r="W43" s="22"/>
      <c r="X43" s="25">
        <v>328</v>
      </c>
      <c r="Y43" s="26">
        <f t="shared" ca="1" si="28"/>
        <v>4.3333333333333335E-2</v>
      </c>
      <c r="Z43" s="26">
        <f t="shared" ca="1" si="29"/>
        <v>0.01</v>
      </c>
      <c r="AA43" s="27">
        <v>1.5100000000000001E-3</v>
      </c>
      <c r="AB43" s="27">
        <v>5.0099999999999998E-5</v>
      </c>
      <c r="AC43" s="22"/>
      <c r="AD43" s="6">
        <v>364</v>
      </c>
      <c r="AE43" s="38">
        <f t="shared" ca="1" si="30"/>
        <v>4.3333333333333335E-2</v>
      </c>
      <c r="AF43" s="39">
        <f t="shared" ca="1" si="31"/>
        <v>0.01</v>
      </c>
      <c r="AG43" s="28"/>
      <c r="AH43" s="28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</row>
    <row r="44" spans="1:54" ht="15.75" x14ac:dyDescent="0.25">
      <c r="A44" s="2">
        <v>318</v>
      </c>
      <c r="B44" s="16">
        <f t="shared" ca="1" si="22"/>
        <v>0.04</v>
      </c>
      <c r="C44" s="16">
        <f t="shared" ca="1" si="23"/>
        <v>0.04</v>
      </c>
      <c r="D44" s="16">
        <f t="shared" ca="1" si="24"/>
        <v>0.05</v>
      </c>
      <c r="E44" s="16">
        <f t="shared" ca="1" si="25"/>
        <v>0.01</v>
      </c>
      <c r="F44" s="16">
        <f t="shared" ca="1" si="26"/>
        <v>0.01</v>
      </c>
      <c r="G44" s="16">
        <f t="shared" ca="1" si="27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1">
        <v>386</v>
      </c>
      <c r="Q44" s="16">
        <f t="shared" ca="1" si="16"/>
        <v>0.04</v>
      </c>
      <c r="R44" s="16">
        <f t="shared" ca="1" si="17"/>
        <v>0.04</v>
      </c>
      <c r="S44" s="16">
        <f t="shared" ca="1" si="18"/>
        <v>0.05</v>
      </c>
      <c r="T44" s="16">
        <f t="shared" ca="1" si="19"/>
        <v>0.01</v>
      </c>
      <c r="U44" s="16">
        <f t="shared" ca="1" si="20"/>
        <v>0.01</v>
      </c>
      <c r="V44" s="16">
        <f t="shared" ca="1" si="21"/>
        <v>0.01</v>
      </c>
      <c r="W44" s="22"/>
      <c r="X44" s="25">
        <v>326</v>
      </c>
      <c r="Y44" s="26">
        <f t="shared" ca="1" si="28"/>
        <v>4.3333333333333335E-2</v>
      </c>
      <c r="Z44" s="26">
        <f t="shared" ca="1" si="29"/>
        <v>0.01</v>
      </c>
      <c r="AA44" s="27">
        <v>2.33E-3</v>
      </c>
      <c r="AB44" s="27">
        <v>4.4499999999999997E-5</v>
      </c>
      <c r="AC44" s="22"/>
      <c r="AD44" s="6">
        <v>363</v>
      </c>
      <c r="AE44" s="38">
        <f t="shared" ca="1" si="30"/>
        <v>4.3333333333333335E-2</v>
      </c>
      <c r="AF44" s="39">
        <f t="shared" ca="1" si="31"/>
        <v>0.01</v>
      </c>
      <c r="AG44" s="28"/>
      <c r="AH44" s="28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</row>
    <row r="45" spans="1:54" ht="15.75" x14ac:dyDescent="0.25">
      <c r="A45" s="2">
        <v>316</v>
      </c>
      <c r="B45" s="16">
        <f t="shared" ca="1" si="22"/>
        <v>0.04</v>
      </c>
      <c r="C45" s="16">
        <f t="shared" ca="1" si="23"/>
        <v>0.04</v>
      </c>
      <c r="D45" s="16">
        <f t="shared" ca="1" si="24"/>
        <v>0.05</v>
      </c>
      <c r="E45" s="16">
        <f t="shared" ca="1" si="25"/>
        <v>0.01</v>
      </c>
      <c r="F45" s="16">
        <f t="shared" ca="1" si="26"/>
        <v>0.01</v>
      </c>
      <c r="G45" s="16">
        <f t="shared" ca="1" si="27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1">
        <v>385</v>
      </c>
      <c r="Q45" s="16">
        <f t="shared" ca="1" si="16"/>
        <v>0.04</v>
      </c>
      <c r="R45" s="16">
        <f t="shared" ca="1" si="17"/>
        <v>0.04</v>
      </c>
      <c r="S45" s="16">
        <f t="shared" ca="1" si="18"/>
        <v>0.05</v>
      </c>
      <c r="T45" s="16">
        <f t="shared" ca="1" si="19"/>
        <v>0.01</v>
      </c>
      <c r="U45" s="16">
        <f t="shared" ca="1" si="20"/>
        <v>0.01</v>
      </c>
      <c r="V45" s="16">
        <f t="shared" ca="1" si="21"/>
        <v>0.01</v>
      </c>
      <c r="W45" s="22"/>
      <c r="X45" s="25">
        <v>324</v>
      </c>
      <c r="Y45" s="26">
        <f t="shared" ca="1" si="28"/>
        <v>4.3333333333333335E-2</v>
      </c>
      <c r="Z45" s="26">
        <f t="shared" ca="1" si="29"/>
        <v>0.01</v>
      </c>
      <c r="AA45" s="27">
        <v>3.5999999999999999E-3</v>
      </c>
      <c r="AB45" s="27">
        <v>3.6100000000000003E-5</v>
      </c>
      <c r="AC45" s="22"/>
      <c r="AD45" s="6">
        <v>362</v>
      </c>
      <c r="AE45" s="38">
        <f t="shared" ca="1" si="30"/>
        <v>4.3333333333333335E-2</v>
      </c>
      <c r="AF45" s="39">
        <f t="shared" ca="1" si="31"/>
        <v>0.01</v>
      </c>
      <c r="AG45" s="28"/>
      <c r="AH45" s="28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</row>
    <row r="46" spans="1:54" ht="15.75" x14ac:dyDescent="0.25">
      <c r="A46" s="2">
        <v>314</v>
      </c>
      <c r="B46" s="16">
        <f t="shared" ca="1" si="22"/>
        <v>0.04</v>
      </c>
      <c r="C46" s="16">
        <f t="shared" ca="1" si="23"/>
        <v>0.04</v>
      </c>
      <c r="D46" s="16">
        <f t="shared" ca="1" si="24"/>
        <v>0.05</v>
      </c>
      <c r="E46" s="16">
        <f t="shared" ca="1" si="25"/>
        <v>0.01</v>
      </c>
      <c r="F46" s="16">
        <f t="shared" ca="1" si="26"/>
        <v>0.01</v>
      </c>
      <c r="G46" s="16">
        <f t="shared" ca="1" si="27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1">
        <v>384</v>
      </c>
      <c r="Q46" s="16">
        <f t="shared" ca="1" si="16"/>
        <v>0.04</v>
      </c>
      <c r="R46" s="16">
        <f t="shared" ca="1" si="17"/>
        <v>0.04</v>
      </c>
      <c r="S46" s="16">
        <f t="shared" ca="1" si="18"/>
        <v>0.05</v>
      </c>
      <c r="T46" s="16">
        <f t="shared" ca="1" si="19"/>
        <v>0.01</v>
      </c>
      <c r="U46" s="16">
        <f t="shared" ca="1" si="20"/>
        <v>0.01</v>
      </c>
      <c r="V46" s="16">
        <f t="shared" ca="1" si="21"/>
        <v>0.01</v>
      </c>
      <c r="W46" s="22"/>
      <c r="X46" s="25">
        <v>322</v>
      </c>
      <c r="Y46" s="26">
        <f t="shared" ca="1" si="28"/>
        <v>4.3333333333333335E-2</v>
      </c>
      <c r="Z46" s="26">
        <f t="shared" ca="1" si="29"/>
        <v>0.01</v>
      </c>
      <c r="AA46" s="27">
        <v>5.5500000000000002E-3</v>
      </c>
      <c r="AB46" s="27">
        <v>3.3200000000000001E-5</v>
      </c>
      <c r="AC46" s="22"/>
      <c r="AD46" s="6">
        <v>361</v>
      </c>
      <c r="AE46" s="38">
        <f t="shared" ca="1" si="30"/>
        <v>4.3333333333333335E-2</v>
      </c>
      <c r="AF46" s="39">
        <f t="shared" ca="1" si="31"/>
        <v>0.01</v>
      </c>
      <c r="AG46" s="28"/>
      <c r="AH46" s="28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</row>
    <row r="47" spans="1:54" ht="15.75" x14ac:dyDescent="0.25">
      <c r="A47" s="2">
        <v>312</v>
      </c>
      <c r="B47" s="16">
        <f t="shared" ca="1" si="22"/>
        <v>0.04</v>
      </c>
      <c r="C47" s="16">
        <f t="shared" ca="1" si="23"/>
        <v>0.04</v>
      </c>
      <c r="D47" s="16">
        <f t="shared" ca="1" si="24"/>
        <v>0.05</v>
      </c>
      <c r="E47" s="16">
        <f t="shared" ca="1" si="25"/>
        <v>0.01</v>
      </c>
      <c r="F47" s="16">
        <f t="shared" ca="1" si="26"/>
        <v>0.01</v>
      </c>
      <c r="G47" s="16">
        <f t="shared" ca="1" si="27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1">
        <v>383</v>
      </c>
      <c r="Q47" s="16">
        <f t="shared" ca="1" si="16"/>
        <v>0.04</v>
      </c>
      <c r="R47" s="16">
        <f t="shared" ca="1" si="17"/>
        <v>0.04</v>
      </c>
      <c r="S47" s="16">
        <f t="shared" ca="1" si="18"/>
        <v>0.05</v>
      </c>
      <c r="T47" s="16">
        <f t="shared" ca="1" si="19"/>
        <v>0.01</v>
      </c>
      <c r="U47" s="16">
        <f t="shared" ca="1" si="20"/>
        <v>0.01</v>
      </c>
      <c r="V47" s="16">
        <f t="shared" ca="1" si="21"/>
        <v>0.01</v>
      </c>
      <c r="W47" s="22"/>
      <c r="X47" s="25">
        <v>320</v>
      </c>
      <c r="Y47" s="26">
        <f t="shared" ca="1" si="28"/>
        <v>4.3333333333333335E-2</v>
      </c>
      <c r="Z47" s="26">
        <f t="shared" ca="1" si="29"/>
        <v>0.01</v>
      </c>
      <c r="AA47" s="27">
        <v>8.5500000000000003E-3</v>
      </c>
      <c r="AB47" s="27">
        <v>3.1399999999999998E-5</v>
      </c>
      <c r="AC47" s="22"/>
      <c r="AD47" s="6">
        <v>360</v>
      </c>
      <c r="AE47" s="38">
        <f t="shared" ca="1" si="30"/>
        <v>4.3333333333333335E-2</v>
      </c>
      <c r="AF47" s="39">
        <f t="shared" ca="1" si="31"/>
        <v>0.01</v>
      </c>
      <c r="AG47" s="28"/>
      <c r="AH47" s="28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</row>
    <row r="48" spans="1:54" ht="15.75" x14ac:dyDescent="0.25">
      <c r="A48" s="2">
        <v>310</v>
      </c>
      <c r="B48" s="16">
        <f t="shared" ca="1" si="22"/>
        <v>0.04</v>
      </c>
      <c r="C48" s="16">
        <f t="shared" ca="1" si="23"/>
        <v>0.04</v>
      </c>
      <c r="D48" s="16">
        <f t="shared" ca="1" si="24"/>
        <v>0.05</v>
      </c>
      <c r="E48" s="16">
        <f t="shared" ca="1" si="25"/>
        <v>0.01</v>
      </c>
      <c r="F48" s="16">
        <f t="shared" ca="1" si="26"/>
        <v>0.01</v>
      </c>
      <c r="G48" s="16">
        <f t="shared" ca="1" si="27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1">
        <v>382</v>
      </c>
      <c r="Q48" s="16">
        <f t="shared" ca="1" si="16"/>
        <v>0.04</v>
      </c>
      <c r="R48" s="16">
        <f t="shared" ca="1" si="17"/>
        <v>0.04</v>
      </c>
      <c r="S48" s="16">
        <f t="shared" ca="1" si="18"/>
        <v>0.05</v>
      </c>
      <c r="T48" s="16">
        <f t="shared" ca="1" si="19"/>
        <v>0.01</v>
      </c>
      <c r="U48" s="16">
        <f t="shared" ca="1" si="20"/>
        <v>0.01</v>
      </c>
      <c r="V48" s="16">
        <f t="shared" ca="1" si="21"/>
        <v>0.01</v>
      </c>
      <c r="W48" s="22"/>
      <c r="X48" s="25">
        <v>318</v>
      </c>
      <c r="Y48" s="26">
        <f t="shared" ca="1" si="28"/>
        <v>4.3333333333333335E-2</v>
      </c>
      <c r="Z48" s="26">
        <f t="shared" ca="1" si="29"/>
        <v>0.01</v>
      </c>
      <c r="AA48" s="27">
        <v>1.32E-2</v>
      </c>
      <c r="AB48" s="27">
        <v>2.7900000000000001E-5</v>
      </c>
      <c r="AC48" s="22"/>
      <c r="AD48" s="6">
        <v>359</v>
      </c>
      <c r="AE48" s="38">
        <f t="shared" ca="1" si="30"/>
        <v>4.3333333333333335E-2</v>
      </c>
      <c r="AF48" s="39">
        <f t="shared" ca="1" si="31"/>
        <v>0.01</v>
      </c>
      <c r="AG48" s="28"/>
      <c r="AH48" s="28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</row>
    <row r="49" spans="1:54" ht="15.75" x14ac:dyDescent="0.25">
      <c r="A49" s="2">
        <v>308</v>
      </c>
      <c r="B49" s="16">
        <f t="shared" ca="1" si="22"/>
        <v>0.04</v>
      </c>
      <c r="C49" s="16">
        <f t="shared" ca="1" si="23"/>
        <v>0.04</v>
      </c>
      <c r="D49" s="16">
        <f t="shared" ca="1" si="24"/>
        <v>0.05</v>
      </c>
      <c r="E49" s="16">
        <f t="shared" ca="1" si="25"/>
        <v>0.01</v>
      </c>
      <c r="F49" s="16">
        <f t="shared" ca="1" si="26"/>
        <v>0.01</v>
      </c>
      <c r="G49" s="16">
        <f t="shared" ca="1" si="27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1">
        <v>381</v>
      </c>
      <c r="Q49" s="16">
        <f t="shared" ca="1" si="16"/>
        <v>0.04</v>
      </c>
      <c r="R49" s="16">
        <f t="shared" ca="1" si="17"/>
        <v>0.04</v>
      </c>
      <c r="S49" s="16">
        <f t="shared" ca="1" si="18"/>
        <v>0.05</v>
      </c>
      <c r="T49" s="16">
        <f t="shared" ca="1" si="19"/>
        <v>0.01</v>
      </c>
      <c r="U49" s="16">
        <f t="shared" ca="1" si="20"/>
        <v>0.01</v>
      </c>
      <c r="V49" s="16">
        <f t="shared" ca="1" si="21"/>
        <v>0.01</v>
      </c>
      <c r="W49" s="22"/>
      <c r="X49" s="25">
        <v>316</v>
      </c>
      <c r="Y49" s="26">
        <f t="shared" ca="1" si="28"/>
        <v>4.3333333333333335E-2</v>
      </c>
      <c r="Z49" s="26">
        <f t="shared" ca="1" si="29"/>
        <v>0.01</v>
      </c>
      <c r="AA49" s="27">
        <v>2.0299999999999999E-2</v>
      </c>
      <c r="AB49" s="27">
        <v>2.4300000000000001E-5</v>
      </c>
      <c r="AC49" s="22"/>
      <c r="AD49" s="6">
        <v>358</v>
      </c>
      <c r="AE49" s="38">
        <f t="shared" ca="1" si="30"/>
        <v>4.3333333333333335E-2</v>
      </c>
      <c r="AF49" s="39">
        <f t="shared" ca="1" si="31"/>
        <v>0.01</v>
      </c>
      <c r="AG49" s="28"/>
      <c r="AH49" s="28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</row>
    <row r="50" spans="1:54" ht="15.75" x14ac:dyDescent="0.25">
      <c r="A50" s="2">
        <v>306</v>
      </c>
      <c r="B50" s="16">
        <f t="shared" ca="1" si="22"/>
        <v>0.04</v>
      </c>
      <c r="C50" s="16">
        <f t="shared" ca="1" si="23"/>
        <v>0.04</v>
      </c>
      <c r="D50" s="16">
        <f t="shared" ca="1" si="24"/>
        <v>0.05</v>
      </c>
      <c r="E50" s="16">
        <f t="shared" ca="1" si="25"/>
        <v>0.01</v>
      </c>
      <c r="F50" s="16">
        <f t="shared" ca="1" si="26"/>
        <v>0.01</v>
      </c>
      <c r="G50" s="16">
        <f t="shared" ca="1" si="27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1">
        <v>380</v>
      </c>
      <c r="Q50" s="16">
        <f t="shared" ca="1" si="16"/>
        <v>0.04</v>
      </c>
      <c r="R50" s="16">
        <f t="shared" ca="1" si="17"/>
        <v>0.04</v>
      </c>
      <c r="S50" s="16">
        <f t="shared" ca="1" si="18"/>
        <v>0.05</v>
      </c>
      <c r="T50" s="16">
        <f t="shared" ca="1" si="19"/>
        <v>0.01</v>
      </c>
      <c r="U50" s="16">
        <f t="shared" ca="1" si="20"/>
        <v>0.01</v>
      </c>
      <c r="V50" s="16">
        <f t="shared" ca="1" si="21"/>
        <v>0.01</v>
      </c>
      <c r="W50" s="22"/>
      <c r="X50" s="25">
        <v>314</v>
      </c>
      <c r="Y50" s="26">
        <f t="shared" ca="1" si="28"/>
        <v>4.3333333333333335E-2</v>
      </c>
      <c r="Z50" s="26">
        <f t="shared" ca="1" si="29"/>
        <v>0.01</v>
      </c>
      <c r="AA50" s="27">
        <v>3.1300000000000001E-2</v>
      </c>
      <c r="AB50" s="27">
        <v>2.1299999999999999E-5</v>
      </c>
      <c r="AC50" s="22"/>
      <c r="AD50" s="6">
        <v>357</v>
      </c>
      <c r="AE50" s="38">
        <f t="shared" ca="1" si="30"/>
        <v>4.3333333333333335E-2</v>
      </c>
      <c r="AF50" s="39">
        <f t="shared" ca="1" si="31"/>
        <v>0.01</v>
      </c>
      <c r="AG50" s="28"/>
      <c r="AH50" s="28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</row>
    <row r="51" spans="1:54" ht="15.75" x14ac:dyDescent="0.25">
      <c r="A51" s="2">
        <v>304</v>
      </c>
      <c r="B51" s="16">
        <f t="shared" ca="1" si="22"/>
        <v>0.04</v>
      </c>
      <c r="C51" s="16">
        <f t="shared" ca="1" si="23"/>
        <v>0.04</v>
      </c>
      <c r="D51" s="16">
        <f t="shared" ca="1" si="24"/>
        <v>0.05</v>
      </c>
      <c r="E51" s="16">
        <f t="shared" ca="1" si="25"/>
        <v>0.01</v>
      </c>
      <c r="F51" s="16">
        <f t="shared" ca="1" si="26"/>
        <v>0.01</v>
      </c>
      <c r="G51" s="16">
        <f t="shared" ca="1" si="27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1">
        <v>379</v>
      </c>
      <c r="Q51" s="16">
        <f t="shared" ca="1" si="16"/>
        <v>0.04</v>
      </c>
      <c r="R51" s="16">
        <f t="shared" ca="1" si="17"/>
        <v>0.04</v>
      </c>
      <c r="S51" s="16">
        <f t="shared" ca="1" si="18"/>
        <v>0.05</v>
      </c>
      <c r="T51" s="16">
        <f t="shared" ca="1" si="19"/>
        <v>0.01</v>
      </c>
      <c r="U51" s="16">
        <f t="shared" ca="1" si="20"/>
        <v>0.01</v>
      </c>
      <c r="V51" s="16">
        <f t="shared" ca="1" si="21"/>
        <v>0.01</v>
      </c>
      <c r="W51" s="22"/>
      <c r="X51" s="25">
        <v>312</v>
      </c>
      <c r="Y51" s="26">
        <f t="shared" ca="1" si="28"/>
        <v>4.3333333333333335E-2</v>
      </c>
      <c r="Z51" s="26">
        <f t="shared" ca="1" si="29"/>
        <v>0.01</v>
      </c>
      <c r="AA51" s="27">
        <v>4.8300000000000003E-2</v>
      </c>
      <c r="AB51" s="27">
        <v>1.7499999999999998E-5</v>
      </c>
      <c r="AC51" s="22"/>
      <c r="AD51" s="6">
        <v>356</v>
      </c>
      <c r="AE51" s="38">
        <f t="shared" ca="1" si="30"/>
        <v>4.3333333333333335E-2</v>
      </c>
      <c r="AF51" s="39">
        <f t="shared" ca="1" si="31"/>
        <v>0.01</v>
      </c>
      <c r="AG51" s="28"/>
      <c r="AH51" s="28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</row>
    <row r="52" spans="1:54" ht="15.75" x14ac:dyDescent="0.25">
      <c r="A52" s="2">
        <v>302</v>
      </c>
      <c r="B52" s="16">
        <f t="shared" ca="1" si="22"/>
        <v>0.04</v>
      </c>
      <c r="C52" s="16">
        <f t="shared" ca="1" si="23"/>
        <v>0.04</v>
      </c>
      <c r="D52" s="16">
        <f t="shared" ca="1" si="24"/>
        <v>0.05</v>
      </c>
      <c r="E52" s="16">
        <f t="shared" ca="1" si="25"/>
        <v>0.01</v>
      </c>
      <c r="F52" s="16">
        <f t="shared" ca="1" si="26"/>
        <v>0.01</v>
      </c>
      <c r="G52" s="16">
        <f t="shared" ca="1" si="27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1">
        <v>378</v>
      </c>
      <c r="Q52" s="16">
        <f t="shared" ca="1" si="16"/>
        <v>0.04</v>
      </c>
      <c r="R52" s="16">
        <f t="shared" ca="1" si="17"/>
        <v>0.04</v>
      </c>
      <c r="S52" s="16">
        <f t="shared" ca="1" si="18"/>
        <v>0.05</v>
      </c>
      <c r="T52" s="16">
        <f t="shared" ca="1" si="19"/>
        <v>0.01</v>
      </c>
      <c r="U52" s="16">
        <f t="shared" ca="1" si="20"/>
        <v>0.01</v>
      </c>
      <c r="V52" s="16">
        <f t="shared" ca="1" si="21"/>
        <v>0.01</v>
      </c>
      <c r="W52" s="22"/>
      <c r="X52" s="25">
        <v>310</v>
      </c>
      <c r="Y52" s="26">
        <f t="shared" ca="1" si="28"/>
        <v>4.3333333333333335E-2</v>
      </c>
      <c r="Z52" s="26">
        <f t="shared" ca="1" si="29"/>
        <v>0.01</v>
      </c>
      <c r="AA52" s="27">
        <v>7.4499999999999997E-2</v>
      </c>
      <c r="AB52" s="27">
        <v>1.34E-5</v>
      </c>
      <c r="AC52" s="22"/>
      <c r="AD52" s="6">
        <v>355</v>
      </c>
      <c r="AE52" s="38">
        <f t="shared" ca="1" si="30"/>
        <v>4.3333333333333335E-2</v>
      </c>
      <c r="AF52" s="39">
        <f t="shared" ca="1" si="31"/>
        <v>0.01</v>
      </c>
      <c r="AG52" s="28"/>
      <c r="AH52" s="28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</row>
    <row r="53" spans="1:54" ht="15.75" x14ac:dyDescent="0.25">
      <c r="A53" s="2">
        <v>300</v>
      </c>
      <c r="B53" s="16">
        <f t="shared" ca="1" si="22"/>
        <v>0.04</v>
      </c>
      <c r="C53" s="16">
        <f t="shared" ca="1" si="23"/>
        <v>0.04</v>
      </c>
      <c r="D53" s="16">
        <f t="shared" ca="1" si="24"/>
        <v>0.05</v>
      </c>
      <c r="E53" s="16">
        <f t="shared" ca="1" si="25"/>
        <v>0.01</v>
      </c>
      <c r="F53" s="16">
        <f t="shared" ca="1" si="26"/>
        <v>0.01</v>
      </c>
      <c r="G53" s="16">
        <f t="shared" ca="1" si="27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1">
        <v>377</v>
      </c>
      <c r="Q53" s="16">
        <f t="shared" ca="1" si="16"/>
        <v>0.04</v>
      </c>
      <c r="R53" s="16">
        <f t="shared" ca="1" si="17"/>
        <v>0.04</v>
      </c>
      <c r="S53" s="16">
        <f t="shared" ca="1" si="18"/>
        <v>0.05</v>
      </c>
      <c r="T53" s="16">
        <f t="shared" ca="1" si="19"/>
        <v>0.01</v>
      </c>
      <c r="U53" s="16">
        <f t="shared" ca="1" si="20"/>
        <v>0.01</v>
      </c>
      <c r="V53" s="16">
        <f t="shared" ca="1" si="21"/>
        <v>0.01</v>
      </c>
      <c r="W53" s="22"/>
      <c r="X53" s="25">
        <v>308</v>
      </c>
      <c r="Y53" s="26">
        <f t="shared" ca="1" si="28"/>
        <v>4.3333333333333335E-2</v>
      </c>
      <c r="Z53" s="26">
        <f t="shared" ca="1" si="29"/>
        <v>0.01</v>
      </c>
      <c r="AA53" s="27">
        <v>0.115</v>
      </c>
      <c r="AB53" s="27">
        <v>9.6800000000000005E-6</v>
      </c>
      <c r="AC53" s="22"/>
      <c r="AD53" s="6">
        <v>354</v>
      </c>
      <c r="AE53" s="38">
        <f t="shared" ca="1" si="30"/>
        <v>4.3333333333333335E-2</v>
      </c>
      <c r="AF53" s="39">
        <f t="shared" ca="1" si="31"/>
        <v>0.01</v>
      </c>
      <c r="AG53" s="28"/>
      <c r="AH53" s="28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</row>
    <row r="54" spans="1:54" ht="15.75" x14ac:dyDescent="0.25">
      <c r="A54" s="2">
        <v>298</v>
      </c>
      <c r="B54" s="16">
        <f t="shared" ca="1" si="22"/>
        <v>0.04</v>
      </c>
      <c r="C54" s="16">
        <f t="shared" ca="1" si="23"/>
        <v>0.04</v>
      </c>
      <c r="D54" s="16">
        <f t="shared" ca="1" si="24"/>
        <v>0.05</v>
      </c>
      <c r="E54" s="16">
        <f t="shared" ca="1" si="25"/>
        <v>0.01</v>
      </c>
      <c r="F54" s="16">
        <f t="shared" ca="1" si="26"/>
        <v>0.01</v>
      </c>
      <c r="G54" s="16">
        <f t="shared" ca="1" si="27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1">
        <v>376</v>
      </c>
      <c r="Q54" s="16">
        <f t="shared" ca="1" si="16"/>
        <v>0.04</v>
      </c>
      <c r="R54" s="16">
        <f t="shared" ca="1" si="17"/>
        <v>0.04</v>
      </c>
      <c r="S54" s="16">
        <f t="shared" ca="1" si="18"/>
        <v>0.05</v>
      </c>
      <c r="T54" s="16">
        <f t="shared" ca="1" si="19"/>
        <v>0.01</v>
      </c>
      <c r="U54" s="16">
        <f t="shared" ca="1" si="20"/>
        <v>0.01</v>
      </c>
      <c r="V54" s="16">
        <f t="shared" ca="1" si="21"/>
        <v>0.01</v>
      </c>
      <c r="W54" s="22"/>
      <c r="X54" s="25">
        <v>306</v>
      </c>
      <c r="Y54" s="26">
        <f t="shared" ca="1" si="28"/>
        <v>4.3333333333333335E-2</v>
      </c>
      <c r="Z54" s="26">
        <f t="shared" ca="1" si="29"/>
        <v>0.01</v>
      </c>
      <c r="AA54" s="27">
        <v>0.17699999999999999</v>
      </c>
      <c r="AB54" s="27">
        <v>7.1899999999999998E-6</v>
      </c>
      <c r="AC54" s="22"/>
      <c r="AD54" s="6">
        <v>353</v>
      </c>
      <c r="AE54" s="38">
        <f t="shared" ca="1" si="30"/>
        <v>4.3333333333333335E-2</v>
      </c>
      <c r="AF54" s="39">
        <f t="shared" ca="1" si="31"/>
        <v>0.01</v>
      </c>
      <c r="AG54" s="28"/>
      <c r="AH54" s="28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</row>
    <row r="55" spans="1:54" ht="15.75" x14ac:dyDescent="0.25">
      <c r="A55" s="2">
        <v>296</v>
      </c>
      <c r="B55" s="16">
        <f t="shared" ca="1" si="22"/>
        <v>0.04</v>
      </c>
      <c r="C55" s="16">
        <f t="shared" ca="1" si="23"/>
        <v>0.04</v>
      </c>
      <c r="D55" s="16">
        <f t="shared" ca="1" si="24"/>
        <v>0.05</v>
      </c>
      <c r="E55" s="16">
        <f t="shared" ca="1" si="25"/>
        <v>0.01</v>
      </c>
      <c r="F55" s="16">
        <f t="shared" ca="1" si="26"/>
        <v>0.01</v>
      </c>
      <c r="G55" s="16">
        <f t="shared" ca="1" si="27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1">
        <v>375</v>
      </c>
      <c r="Q55" s="16">
        <f t="shared" ca="1" si="16"/>
        <v>0.04</v>
      </c>
      <c r="R55" s="16">
        <f t="shared" ca="1" si="17"/>
        <v>0.04</v>
      </c>
      <c r="S55" s="16">
        <f t="shared" ca="1" si="18"/>
        <v>0.05</v>
      </c>
      <c r="T55" s="16">
        <f t="shared" ca="1" si="19"/>
        <v>0.01</v>
      </c>
      <c r="U55" s="16">
        <f t="shared" ca="1" si="20"/>
        <v>0.01</v>
      </c>
      <c r="V55" s="16">
        <f t="shared" ca="1" si="21"/>
        <v>0.01</v>
      </c>
      <c r="W55" s="22"/>
      <c r="X55" s="25">
        <v>304</v>
      </c>
      <c r="Y55" s="26">
        <f t="shared" ca="1" si="28"/>
        <v>4.3333333333333335E-2</v>
      </c>
      <c r="Z55" s="26">
        <f t="shared" ca="1" si="29"/>
        <v>0.01</v>
      </c>
      <c r="AA55" s="27">
        <v>0.27300000000000002</v>
      </c>
      <c r="AB55" s="27">
        <v>4.3499999999999999E-6</v>
      </c>
      <c r="AC55" s="22"/>
      <c r="AD55" s="6">
        <v>352</v>
      </c>
      <c r="AE55" s="38">
        <f t="shared" ca="1" si="30"/>
        <v>4.3333333333333335E-2</v>
      </c>
      <c r="AF55" s="39">
        <f t="shared" ca="1" si="31"/>
        <v>0.01</v>
      </c>
      <c r="AG55" s="28"/>
      <c r="AH55" s="28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</row>
    <row r="56" spans="1:54" ht="15.75" x14ac:dyDescent="0.25">
      <c r="A56" s="2">
        <v>294</v>
      </c>
      <c r="B56" s="16">
        <f t="shared" ca="1" si="22"/>
        <v>0.04</v>
      </c>
      <c r="C56" s="16">
        <f t="shared" ca="1" si="23"/>
        <v>0.04</v>
      </c>
      <c r="D56" s="16">
        <f t="shared" ca="1" si="24"/>
        <v>0.05</v>
      </c>
      <c r="E56" s="16">
        <f t="shared" ca="1" si="25"/>
        <v>0.01</v>
      </c>
      <c r="F56" s="16">
        <f t="shared" ca="1" si="26"/>
        <v>0.01</v>
      </c>
      <c r="G56" s="16">
        <f t="shared" ca="1" si="27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1">
        <v>374</v>
      </c>
      <c r="Q56" s="16">
        <f t="shared" ca="1" si="16"/>
        <v>0.04</v>
      </c>
      <c r="R56" s="16">
        <f t="shared" ca="1" si="17"/>
        <v>0.04</v>
      </c>
      <c r="S56" s="16">
        <f t="shared" ca="1" si="18"/>
        <v>0.05</v>
      </c>
      <c r="T56" s="16">
        <f t="shared" ca="1" si="19"/>
        <v>0.01</v>
      </c>
      <c r="U56" s="16">
        <f t="shared" ca="1" si="20"/>
        <v>0.01</v>
      </c>
      <c r="V56" s="16">
        <f t="shared" ca="1" si="21"/>
        <v>0.01</v>
      </c>
      <c r="W56" s="22"/>
      <c r="X56" s="25">
        <v>302</v>
      </c>
      <c r="Y56" s="26">
        <f t="shared" ca="1" si="28"/>
        <v>4.3333333333333335E-2</v>
      </c>
      <c r="Z56" s="26">
        <f t="shared" ca="1" si="29"/>
        <v>0.01</v>
      </c>
      <c r="AA56" s="27">
        <v>0.42099999999999999</v>
      </c>
      <c r="AB56" s="27">
        <v>2.3599999999999999E-6</v>
      </c>
      <c r="AC56" s="22"/>
      <c r="AD56" s="6">
        <v>351</v>
      </c>
      <c r="AE56" s="38">
        <f t="shared" ca="1" si="30"/>
        <v>4.3333333333333335E-2</v>
      </c>
      <c r="AF56" s="39">
        <f t="shared" ca="1" si="31"/>
        <v>0.01</v>
      </c>
      <c r="AG56" s="28"/>
      <c r="AH56" s="28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</row>
    <row r="57" spans="1:54" ht="15.75" x14ac:dyDescent="0.25">
      <c r="A57" s="2">
        <v>292</v>
      </c>
      <c r="B57" s="16">
        <f t="shared" ca="1" si="22"/>
        <v>0.04</v>
      </c>
      <c r="C57" s="16">
        <f t="shared" ca="1" si="23"/>
        <v>0.04</v>
      </c>
      <c r="D57" s="16">
        <f t="shared" ca="1" si="24"/>
        <v>0.05</v>
      </c>
      <c r="E57" s="16">
        <f t="shared" ca="1" si="25"/>
        <v>0.01</v>
      </c>
      <c r="F57" s="16">
        <f t="shared" ca="1" si="26"/>
        <v>0.01</v>
      </c>
      <c r="G57" s="16">
        <f t="shared" ca="1" si="27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1">
        <v>373</v>
      </c>
      <c r="Q57" s="16">
        <f t="shared" ca="1" si="16"/>
        <v>0.04</v>
      </c>
      <c r="R57" s="16">
        <f t="shared" ca="1" si="17"/>
        <v>0.04</v>
      </c>
      <c r="S57" s="16">
        <f t="shared" ca="1" si="18"/>
        <v>0.05</v>
      </c>
      <c r="T57" s="16">
        <f t="shared" ca="1" si="19"/>
        <v>0.01</v>
      </c>
      <c r="U57" s="16">
        <f t="shared" ca="1" si="20"/>
        <v>0.01</v>
      </c>
      <c r="V57" s="16">
        <f t="shared" ca="1" si="21"/>
        <v>0.01</v>
      </c>
      <c r="W57" s="22"/>
      <c r="X57" s="25">
        <v>300</v>
      </c>
      <c r="Y57" s="26">
        <f t="shared" ca="1" si="28"/>
        <v>4.3333333333333335E-2</v>
      </c>
      <c r="Z57" s="26">
        <f t="shared" ca="1" si="29"/>
        <v>0.01</v>
      </c>
      <c r="AA57" s="27">
        <v>0.64900000000000002</v>
      </c>
      <c r="AB57" s="27">
        <v>8.6400000000000001E-7</v>
      </c>
      <c r="AC57" s="22"/>
      <c r="AD57" s="6">
        <v>350</v>
      </c>
      <c r="AE57" s="38">
        <f t="shared" ca="1" si="30"/>
        <v>4.3333333333333335E-2</v>
      </c>
      <c r="AF57" s="39">
        <f t="shared" ca="1" si="31"/>
        <v>0</v>
      </c>
      <c r="AG57" s="28"/>
      <c r="AH57" s="28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</row>
    <row r="58" spans="1:54" ht="15.75" x14ac:dyDescent="0.25">
      <c r="A58" s="2">
        <v>290</v>
      </c>
      <c r="B58" s="16">
        <f t="shared" ca="1" si="22"/>
        <v>0.04</v>
      </c>
      <c r="C58" s="16">
        <f t="shared" ca="1" si="23"/>
        <v>0.04</v>
      </c>
      <c r="D58" s="16">
        <f t="shared" ca="1" si="24"/>
        <v>0.05</v>
      </c>
      <c r="E58" s="16">
        <f t="shared" ca="1" si="25"/>
        <v>0.01</v>
      </c>
      <c r="F58" s="16">
        <f t="shared" ca="1" si="26"/>
        <v>0.01</v>
      </c>
      <c r="G58" s="16">
        <f t="shared" ca="1" si="27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1">
        <v>372</v>
      </c>
      <c r="Q58" s="16">
        <f t="shared" ca="1" si="16"/>
        <v>0.04</v>
      </c>
      <c r="R58" s="16">
        <f t="shared" ca="1" si="17"/>
        <v>0.04</v>
      </c>
      <c r="S58" s="16">
        <f t="shared" ca="1" si="18"/>
        <v>0.05</v>
      </c>
      <c r="T58" s="16">
        <f t="shared" ca="1" si="19"/>
        <v>0.01</v>
      </c>
      <c r="U58" s="16">
        <f t="shared" ca="1" si="20"/>
        <v>0.01</v>
      </c>
      <c r="V58" s="16">
        <f t="shared" ca="1" si="21"/>
        <v>0.01</v>
      </c>
      <c r="W58" s="22"/>
      <c r="X58" s="25">
        <v>298</v>
      </c>
      <c r="Y58" s="26">
        <f t="shared" ca="1" si="28"/>
        <v>4.3333333333333335E-2</v>
      </c>
      <c r="Z58" s="26">
        <f t="shared" ca="1" si="29"/>
        <v>0.01</v>
      </c>
      <c r="AA58" s="27">
        <v>1</v>
      </c>
      <c r="AB58" s="27">
        <v>3.3700000000000001E-7</v>
      </c>
      <c r="AC58" s="22"/>
      <c r="AD58" s="6">
        <v>349</v>
      </c>
      <c r="AE58" s="38">
        <f t="shared" ca="1" si="30"/>
        <v>4.3333333333333335E-2</v>
      </c>
      <c r="AF58" s="39">
        <f t="shared" ca="1" si="31"/>
        <v>0.01</v>
      </c>
      <c r="AG58" s="28"/>
      <c r="AH58" s="28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</row>
    <row r="59" spans="1:54" ht="15.75" x14ac:dyDescent="0.25">
      <c r="A59" s="2">
        <v>288</v>
      </c>
      <c r="B59" s="16">
        <f t="shared" ca="1" si="22"/>
        <v>0.04</v>
      </c>
      <c r="C59" s="16">
        <f t="shared" ca="1" si="23"/>
        <v>0.04</v>
      </c>
      <c r="D59" s="16">
        <f t="shared" ca="1" si="24"/>
        <v>0.05</v>
      </c>
      <c r="E59" s="16">
        <f t="shared" ca="1" si="25"/>
        <v>0.01</v>
      </c>
      <c r="F59" s="16">
        <f t="shared" ca="1" si="26"/>
        <v>0.01</v>
      </c>
      <c r="G59" s="16">
        <f t="shared" ca="1" si="27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1">
        <v>371</v>
      </c>
      <c r="Q59" s="16">
        <f t="shared" ca="1" si="16"/>
        <v>0.04</v>
      </c>
      <c r="R59" s="16">
        <f t="shared" ca="1" si="17"/>
        <v>0.04</v>
      </c>
      <c r="S59" s="16">
        <f t="shared" ca="1" si="18"/>
        <v>0.05</v>
      </c>
      <c r="T59" s="16">
        <f t="shared" ca="1" si="19"/>
        <v>0.01</v>
      </c>
      <c r="U59" s="16">
        <f t="shared" ca="1" si="20"/>
        <v>0.01</v>
      </c>
      <c r="V59" s="16">
        <f t="shared" ca="1" si="21"/>
        <v>0.01</v>
      </c>
      <c r="W59" s="22"/>
      <c r="X59" s="25">
        <v>296</v>
      </c>
      <c r="Y59" s="26">
        <f t="shared" ca="1" si="28"/>
        <v>4.3333333333333335E-2</v>
      </c>
      <c r="Z59" s="26">
        <f t="shared" ca="1" si="29"/>
        <v>0.01</v>
      </c>
      <c r="AA59" s="27">
        <v>1</v>
      </c>
      <c r="AB59" s="27">
        <v>1.2800000000000001E-7</v>
      </c>
      <c r="AC59" s="22"/>
      <c r="AD59" s="6">
        <v>348</v>
      </c>
      <c r="AE59" s="38">
        <f t="shared" ca="1" si="30"/>
        <v>4.3333333333333335E-2</v>
      </c>
      <c r="AF59" s="39">
        <f t="shared" ca="1" si="31"/>
        <v>0.01</v>
      </c>
      <c r="AG59" s="28"/>
      <c r="AH59" s="28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</row>
    <row r="60" spans="1:54" ht="15.75" x14ac:dyDescent="0.25">
      <c r="A60" s="2">
        <v>286</v>
      </c>
      <c r="B60" s="16">
        <f t="shared" ca="1" si="22"/>
        <v>0.04</v>
      </c>
      <c r="C60" s="16">
        <f t="shared" ca="1" si="23"/>
        <v>0.04</v>
      </c>
      <c r="D60" s="16">
        <f t="shared" ca="1" si="24"/>
        <v>0.05</v>
      </c>
      <c r="E60" s="16">
        <f t="shared" ca="1" si="25"/>
        <v>0.01</v>
      </c>
      <c r="F60" s="16">
        <f t="shared" ca="1" si="26"/>
        <v>0.01</v>
      </c>
      <c r="G60" s="16">
        <f t="shared" ca="1" si="27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1">
        <v>370</v>
      </c>
      <c r="Q60" s="16">
        <f t="shared" ca="1" si="16"/>
        <v>0.04</v>
      </c>
      <c r="R60" s="16">
        <f t="shared" ca="1" si="17"/>
        <v>0.04</v>
      </c>
      <c r="S60" s="16">
        <f t="shared" ca="1" si="18"/>
        <v>0.05</v>
      </c>
      <c r="T60" s="16">
        <f t="shared" ca="1" si="19"/>
        <v>0.01</v>
      </c>
      <c r="U60" s="16">
        <f t="shared" ca="1" si="20"/>
        <v>0.01</v>
      </c>
      <c r="V60" s="16">
        <f t="shared" ca="1" si="21"/>
        <v>0.01</v>
      </c>
      <c r="W60" s="22"/>
      <c r="X60" s="25">
        <v>294</v>
      </c>
      <c r="Y60" s="26">
        <f t="shared" ca="1" si="28"/>
        <v>4.3333333333333335E-2</v>
      </c>
      <c r="Z60" s="26">
        <f t="shared" ca="1" si="29"/>
        <v>0.01</v>
      </c>
      <c r="AA60" s="27">
        <v>1</v>
      </c>
      <c r="AB60" s="27">
        <v>2.92E-8</v>
      </c>
      <c r="AC60" s="22"/>
      <c r="AD60" s="6">
        <v>347</v>
      </c>
      <c r="AE60" s="38">
        <f t="shared" ca="1" si="30"/>
        <v>4.3333333333333335E-2</v>
      </c>
      <c r="AF60" s="39">
        <f t="shared" ca="1" si="31"/>
        <v>0.01</v>
      </c>
      <c r="AG60" s="28"/>
      <c r="AH60" s="28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</row>
    <row r="61" spans="1:54" ht="15.75" x14ac:dyDescent="0.25">
      <c r="A61" s="2">
        <v>284</v>
      </c>
      <c r="B61" s="16">
        <f t="shared" ca="1" si="22"/>
        <v>0.04</v>
      </c>
      <c r="C61" s="16">
        <f t="shared" ca="1" si="23"/>
        <v>0.04</v>
      </c>
      <c r="D61" s="16">
        <f t="shared" ca="1" si="24"/>
        <v>0.05</v>
      </c>
      <c r="E61" s="16">
        <f t="shared" ca="1" si="25"/>
        <v>0.01</v>
      </c>
      <c r="F61" s="16">
        <f t="shared" ca="1" si="26"/>
        <v>0.01</v>
      </c>
      <c r="G61" s="16">
        <f t="shared" ca="1" si="27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1">
        <v>369</v>
      </c>
      <c r="Q61" s="16">
        <f t="shared" ca="1" si="16"/>
        <v>0.04</v>
      </c>
      <c r="R61" s="16">
        <f t="shared" ca="1" si="17"/>
        <v>0.04</v>
      </c>
      <c r="S61" s="16">
        <f t="shared" ca="1" si="18"/>
        <v>0.05</v>
      </c>
      <c r="T61" s="16">
        <f t="shared" ca="1" si="19"/>
        <v>0.01</v>
      </c>
      <c r="U61" s="16">
        <f t="shared" ca="1" si="20"/>
        <v>0.01</v>
      </c>
      <c r="V61" s="16">
        <f t="shared" ca="1" si="21"/>
        <v>0.01</v>
      </c>
      <c r="W61" s="22"/>
      <c r="X61" s="25">
        <v>292</v>
      </c>
      <c r="Y61" s="26">
        <f t="shared" ca="1" si="28"/>
        <v>4.3333333333333335E-2</v>
      </c>
      <c r="Z61" s="26">
        <f t="shared" ca="1" si="29"/>
        <v>0.01</v>
      </c>
      <c r="AA61" s="27">
        <v>1</v>
      </c>
      <c r="AB61" s="27">
        <v>2.8499999999999999E-9</v>
      </c>
      <c r="AC61" s="22"/>
      <c r="AD61" s="6">
        <v>346</v>
      </c>
      <c r="AE61" s="38">
        <f t="shared" ca="1" si="30"/>
        <v>4.3333333333333335E-2</v>
      </c>
      <c r="AF61" s="39">
        <f t="shared" ca="1" si="31"/>
        <v>0.01</v>
      </c>
      <c r="AG61" s="28"/>
      <c r="AH61" s="28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</row>
    <row r="62" spans="1:54" ht="15.75" x14ac:dyDescent="0.25">
      <c r="A62" s="2">
        <v>282</v>
      </c>
      <c r="B62" s="16">
        <f t="shared" ca="1" si="22"/>
        <v>0.04</v>
      </c>
      <c r="C62" s="16">
        <f t="shared" ca="1" si="23"/>
        <v>0.04</v>
      </c>
      <c r="D62" s="16">
        <f t="shared" ca="1" si="24"/>
        <v>0.05</v>
      </c>
      <c r="E62" s="16">
        <f t="shared" ca="1" si="25"/>
        <v>0.01</v>
      </c>
      <c r="F62" s="16">
        <f t="shared" ca="1" si="26"/>
        <v>0.01</v>
      </c>
      <c r="G62" s="16">
        <f t="shared" ca="1" si="27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1">
        <v>368</v>
      </c>
      <c r="Q62" s="16">
        <f t="shared" ref="Q62:Q93" ca="1" si="32">IF(INDIRECT("J"&amp;ROW(Q62)-27)/100&gt;0,INDIRECT("J"&amp;ROW(Q62)-27)/100,0)</f>
        <v>0.05</v>
      </c>
      <c r="R62" s="16">
        <f t="shared" ref="R62:R93" ca="1" si="33">IF(INDIRECT("K"&amp;ROW(R62)-27)/100&gt;0,INDIRECT("K"&amp;ROW(R62)-27)/100,0)</f>
        <v>0.05</v>
      </c>
      <c r="S62" s="16">
        <f t="shared" ref="S62:S93" ca="1" si="34">IF(INDIRECT("L"&amp;ROW(S62)-27)/100&gt;0,INDIRECT("L"&amp;ROW(S62)-27)/100,0)</f>
        <v>0.05</v>
      </c>
      <c r="T62" s="16">
        <f t="shared" ref="T62:T93" ca="1" si="35">IF(INDIRECT("M"&amp;ROW(T62)-27)/100&gt;0,INDIRECT("M"&amp;ROW(T62)-27)/100,0)</f>
        <v>0.01</v>
      </c>
      <c r="U62" s="16">
        <f t="shared" ref="U62:U93" ca="1" si="36">IF(INDIRECT("N"&amp;ROW(U62)-27)/100&gt;0,INDIRECT("N"&amp;ROW(U62)-27)/100,0)</f>
        <v>0.01</v>
      </c>
      <c r="V62" s="16">
        <f t="shared" ref="V62:V93" ca="1" si="37">IF(INDIRECT("O"&amp;ROW(V62)-27)/100&gt;0,INDIRECT("O"&amp;ROW(V62)-27)/100,0)</f>
        <v>0.01</v>
      </c>
      <c r="W62" s="22"/>
      <c r="X62" s="25">
        <v>290</v>
      </c>
      <c r="Y62" s="26">
        <f t="shared" ca="1" si="28"/>
        <v>4.3333333333333335E-2</v>
      </c>
      <c r="Z62" s="26">
        <f t="shared" ca="1" si="29"/>
        <v>0.01</v>
      </c>
      <c r="AA62" s="27">
        <v>1</v>
      </c>
      <c r="AB62" s="27">
        <v>3.0900000000000002E-10</v>
      </c>
      <c r="AC62" s="22"/>
      <c r="AD62" s="6">
        <v>345</v>
      </c>
      <c r="AE62" s="38">
        <f t="shared" ca="1" si="30"/>
        <v>4.3333333333333335E-2</v>
      </c>
      <c r="AF62" s="39">
        <f t="shared" ca="1" si="31"/>
        <v>0.01</v>
      </c>
      <c r="AG62" s="28"/>
      <c r="AH62" s="28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</row>
    <row r="63" spans="1:54" ht="15.75" x14ac:dyDescent="0.25">
      <c r="A63" s="2">
        <v>280</v>
      </c>
      <c r="B63" s="16">
        <f t="shared" ca="1" si="22"/>
        <v>0.04</v>
      </c>
      <c r="C63" s="16">
        <f t="shared" ca="1" si="23"/>
        <v>0.04</v>
      </c>
      <c r="D63" s="16">
        <f t="shared" ca="1" si="24"/>
        <v>0.05</v>
      </c>
      <c r="E63" s="16">
        <f t="shared" ca="1" si="25"/>
        <v>2.3E-2</v>
      </c>
      <c r="F63" s="16">
        <f t="shared" ca="1" si="26"/>
        <v>2.4E-2</v>
      </c>
      <c r="G63" s="16">
        <f t="shared" ca="1" si="27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1">
        <v>367</v>
      </c>
      <c r="Q63" s="16">
        <f t="shared" ca="1" si="32"/>
        <v>0.04</v>
      </c>
      <c r="R63" s="16">
        <f t="shared" ca="1" si="33"/>
        <v>0.04</v>
      </c>
      <c r="S63" s="16">
        <f t="shared" ca="1" si="34"/>
        <v>0.05</v>
      </c>
      <c r="T63" s="16">
        <f t="shared" ca="1" si="35"/>
        <v>0.01</v>
      </c>
      <c r="U63" s="16">
        <f t="shared" ca="1" si="36"/>
        <v>0.01</v>
      </c>
      <c r="V63" s="16">
        <f t="shared" ca="1" si="37"/>
        <v>0.01</v>
      </c>
      <c r="W63" s="22"/>
      <c r="X63" s="25">
        <v>288</v>
      </c>
      <c r="Y63" s="26">
        <f t="shared" ca="1" si="28"/>
        <v>4.3333333333333335E-2</v>
      </c>
      <c r="Z63" s="26">
        <f t="shared" ca="1" si="29"/>
        <v>0.01</v>
      </c>
      <c r="AA63" s="27">
        <v>1</v>
      </c>
      <c r="AB63" s="27">
        <v>6.4699999999999994E-11</v>
      </c>
      <c r="AC63" s="22"/>
      <c r="AD63" s="6">
        <v>344</v>
      </c>
      <c r="AE63" s="38">
        <f t="shared" ca="1" si="30"/>
        <v>4.3333333333333335E-2</v>
      </c>
      <c r="AF63" s="39">
        <f t="shared" ca="1" si="31"/>
        <v>0.01</v>
      </c>
      <c r="AG63" s="28"/>
      <c r="AH63" s="28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</row>
    <row r="64" spans="1:54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1">
        <v>366</v>
      </c>
      <c r="Q64" s="16">
        <f t="shared" ca="1" si="32"/>
        <v>0.04</v>
      </c>
      <c r="R64" s="16">
        <f t="shared" ca="1" si="33"/>
        <v>0.04</v>
      </c>
      <c r="S64" s="16">
        <f t="shared" ca="1" si="34"/>
        <v>0.05</v>
      </c>
      <c r="T64" s="16">
        <f t="shared" ca="1" si="35"/>
        <v>0.01</v>
      </c>
      <c r="U64" s="16">
        <f t="shared" ca="1" si="36"/>
        <v>0.01</v>
      </c>
      <c r="V64" s="16">
        <f t="shared" ca="1" si="37"/>
        <v>0.01</v>
      </c>
      <c r="W64" s="22"/>
      <c r="X64" s="25">
        <v>286</v>
      </c>
      <c r="Y64" s="26">
        <f t="shared" ca="1" si="28"/>
        <v>4.3333333333333335E-2</v>
      </c>
      <c r="Z64" s="26">
        <f t="shared" ca="1" si="29"/>
        <v>0.01</v>
      </c>
      <c r="AA64" s="27">
        <v>1</v>
      </c>
      <c r="AB64" s="27">
        <v>4.0600000000000001E-11</v>
      </c>
      <c r="AC64" s="22"/>
      <c r="AD64" s="6">
        <v>343</v>
      </c>
      <c r="AE64" s="38">
        <f t="shared" ca="1" si="30"/>
        <v>4.3333333333333335E-2</v>
      </c>
      <c r="AF64" s="39">
        <f t="shared" ca="1" si="31"/>
        <v>0.01</v>
      </c>
      <c r="AG64" s="28"/>
      <c r="AH64" s="28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</row>
    <row r="65" spans="1:54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1">
        <v>365</v>
      </c>
      <c r="Q65" s="16">
        <f t="shared" ca="1" si="32"/>
        <v>0.04</v>
      </c>
      <c r="R65" s="16">
        <f t="shared" ca="1" si="33"/>
        <v>0.04</v>
      </c>
      <c r="S65" s="16">
        <f t="shared" ca="1" si="34"/>
        <v>0.05</v>
      </c>
      <c r="T65" s="16">
        <f t="shared" ca="1" si="35"/>
        <v>0.01</v>
      </c>
      <c r="U65" s="16">
        <f t="shared" ca="1" si="36"/>
        <v>0.01</v>
      </c>
      <c r="V65" s="16">
        <f t="shared" ca="1" si="37"/>
        <v>0.01</v>
      </c>
      <c r="W65" s="22"/>
      <c r="X65" s="25">
        <v>284</v>
      </c>
      <c r="Y65" s="26">
        <f t="shared" ca="1" si="28"/>
        <v>4.3333333333333335E-2</v>
      </c>
      <c r="Z65" s="26">
        <f t="shared" ca="1" si="29"/>
        <v>0.01</v>
      </c>
      <c r="AA65" s="27">
        <v>1</v>
      </c>
      <c r="AB65" s="27">
        <v>3.1400000000000003E-11</v>
      </c>
      <c r="AC65" s="22"/>
      <c r="AD65" s="6">
        <v>342</v>
      </c>
      <c r="AE65" s="38">
        <f t="shared" ca="1" si="30"/>
        <v>4.3333333333333335E-2</v>
      </c>
      <c r="AF65" s="39">
        <f t="shared" ca="1" si="31"/>
        <v>0.01</v>
      </c>
      <c r="AG65" s="28"/>
      <c r="AH65" s="28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</row>
    <row r="66" spans="1:54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1">
        <v>364</v>
      </c>
      <c r="Q66" s="16">
        <f t="shared" ca="1" si="32"/>
        <v>0.04</v>
      </c>
      <c r="R66" s="16">
        <f t="shared" ca="1" si="33"/>
        <v>0.04</v>
      </c>
      <c r="S66" s="16">
        <f t="shared" ca="1" si="34"/>
        <v>0.05</v>
      </c>
      <c r="T66" s="16">
        <f t="shared" ca="1" si="35"/>
        <v>0.01</v>
      </c>
      <c r="U66" s="16">
        <f t="shared" ca="1" si="36"/>
        <v>0.01</v>
      </c>
      <c r="V66" s="16">
        <f t="shared" ca="1" si="37"/>
        <v>0.01</v>
      </c>
      <c r="W66" s="22"/>
      <c r="X66" s="25">
        <v>282</v>
      </c>
      <c r="Y66" s="26">
        <f t="shared" ca="1" si="28"/>
        <v>4.3333333333333335E-2</v>
      </c>
      <c r="Z66" s="26">
        <f t="shared" ca="1" si="29"/>
        <v>0.01</v>
      </c>
      <c r="AA66" s="27">
        <v>1</v>
      </c>
      <c r="AB66" s="27">
        <v>2.37E-11</v>
      </c>
      <c r="AC66" s="22"/>
      <c r="AD66" s="6">
        <v>341</v>
      </c>
      <c r="AE66" s="38">
        <f t="shared" ca="1" si="30"/>
        <v>4.3333333333333335E-2</v>
      </c>
      <c r="AF66" s="39">
        <f t="shared" ca="1" si="31"/>
        <v>0.01</v>
      </c>
      <c r="AG66" s="28"/>
      <c r="AH66" s="28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</row>
    <row r="67" spans="1:54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1">
        <v>363</v>
      </c>
      <c r="Q67" s="16">
        <f t="shared" ca="1" si="32"/>
        <v>0.04</v>
      </c>
      <c r="R67" s="16">
        <f t="shared" ca="1" si="33"/>
        <v>0.04</v>
      </c>
      <c r="S67" s="16">
        <f t="shared" ca="1" si="34"/>
        <v>0.05</v>
      </c>
      <c r="T67" s="16">
        <f t="shared" ca="1" si="35"/>
        <v>0.01</v>
      </c>
      <c r="U67" s="16">
        <f t="shared" ca="1" si="36"/>
        <v>0.01</v>
      </c>
      <c r="V67" s="16">
        <f t="shared" ca="1" si="37"/>
        <v>0.01</v>
      </c>
      <c r="W67" s="22"/>
      <c r="X67" s="25">
        <v>280</v>
      </c>
      <c r="Y67" s="26">
        <f t="shared" ca="1" si="28"/>
        <v>4.3333333333333335E-2</v>
      </c>
      <c r="Z67" s="26">
        <f t="shared" ca="1" si="29"/>
        <v>2.4000000000000004E-2</v>
      </c>
      <c r="AA67" s="27">
        <v>1</v>
      </c>
      <c r="AB67" s="27">
        <v>4.1199999999999997E-11</v>
      </c>
      <c r="AC67" s="22"/>
      <c r="AD67" s="6">
        <v>340</v>
      </c>
      <c r="AE67" s="38">
        <f t="shared" ca="1" si="30"/>
        <v>4.3333333333333335E-2</v>
      </c>
      <c r="AF67" s="39">
        <f t="shared" ca="1" si="31"/>
        <v>0.01</v>
      </c>
      <c r="AG67" s="28"/>
      <c r="AH67" s="28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</row>
    <row r="68" spans="1:54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1">
        <v>362</v>
      </c>
      <c r="Q68" s="16">
        <f t="shared" ca="1" si="32"/>
        <v>0.04</v>
      </c>
      <c r="R68" s="16">
        <f t="shared" ca="1" si="33"/>
        <v>0.04</v>
      </c>
      <c r="S68" s="16">
        <f t="shared" ca="1" si="34"/>
        <v>0.05</v>
      </c>
      <c r="T68" s="16">
        <f t="shared" ca="1" si="35"/>
        <v>0.01</v>
      </c>
      <c r="U68" s="16">
        <f t="shared" ca="1" si="36"/>
        <v>0.01</v>
      </c>
      <c r="V68" s="16">
        <f t="shared" ca="1" si="37"/>
        <v>0.01</v>
      </c>
      <c r="W68" s="22"/>
      <c r="X68" s="22" t="s">
        <v>31</v>
      </c>
      <c r="Y68" s="29">
        <f>SUMPRODUCT(AA7:AA67,AB7:AB67)</f>
        <v>1.0854396E-5</v>
      </c>
      <c r="Z68" s="29">
        <f>SUMPRODUCT(AA7:AA67,AB7:AB67)</f>
        <v>1.0854396E-5</v>
      </c>
      <c r="AA68" s="22"/>
      <c r="AB68" s="29"/>
      <c r="AC68" s="22"/>
      <c r="AD68" s="6">
        <v>339</v>
      </c>
      <c r="AE68" s="38">
        <f t="shared" ca="1" si="30"/>
        <v>4.3333333333333335E-2</v>
      </c>
      <c r="AF68" s="39">
        <f t="shared" ca="1" si="31"/>
        <v>0.01</v>
      </c>
      <c r="AG68" s="28"/>
      <c r="AH68" s="28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</row>
    <row r="69" spans="1:54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1">
        <v>361</v>
      </c>
      <c r="Q69" s="16">
        <f t="shared" ca="1" si="32"/>
        <v>0.04</v>
      </c>
      <c r="R69" s="16">
        <f t="shared" ca="1" si="33"/>
        <v>0.04</v>
      </c>
      <c r="S69" s="16">
        <f t="shared" ca="1" si="34"/>
        <v>0.05</v>
      </c>
      <c r="T69" s="16">
        <f t="shared" ca="1" si="35"/>
        <v>0.01</v>
      </c>
      <c r="U69" s="16">
        <f t="shared" ca="1" si="36"/>
        <v>0.01</v>
      </c>
      <c r="V69" s="16">
        <f t="shared" ca="1" si="37"/>
        <v>0.01</v>
      </c>
      <c r="W69" s="22"/>
      <c r="X69" s="22" t="s">
        <v>32</v>
      </c>
      <c r="Y69" s="29">
        <f ca="1">SUMPRODUCT(Y7:Y67,AA7:AA67,AB7:AB67)</f>
        <v>4.7053086933333335E-7</v>
      </c>
      <c r="Z69" s="29">
        <f ca="1">SUMPRODUCT(Z7:Z67,AA7:AA67,AB7:AB67)</f>
        <v>1.0830692613333334E-7</v>
      </c>
      <c r="AA69" s="22"/>
      <c r="AB69" s="29"/>
      <c r="AC69" s="22"/>
      <c r="AD69" s="6">
        <v>338</v>
      </c>
      <c r="AE69" s="38">
        <f t="shared" ca="1" si="30"/>
        <v>4.3333333333333335E-2</v>
      </c>
      <c r="AF69" s="39">
        <f t="shared" ca="1" si="31"/>
        <v>0.01</v>
      </c>
      <c r="AG69" s="28"/>
      <c r="AH69" s="28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</row>
    <row r="70" spans="1:54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1">
        <v>360</v>
      </c>
      <c r="Q70" s="16">
        <f t="shared" ca="1" si="32"/>
        <v>0.04</v>
      </c>
      <c r="R70" s="16">
        <f t="shared" ca="1" si="33"/>
        <v>0.04</v>
      </c>
      <c r="S70" s="16">
        <f t="shared" ca="1" si="34"/>
        <v>0.05</v>
      </c>
      <c r="T70" s="16">
        <f t="shared" ca="1" si="35"/>
        <v>0.01</v>
      </c>
      <c r="U70" s="16">
        <f t="shared" ca="1" si="36"/>
        <v>0.01</v>
      </c>
      <c r="V70" s="16">
        <f t="shared" ca="1" si="37"/>
        <v>0.01</v>
      </c>
      <c r="W70" s="22"/>
      <c r="X70" s="22" t="s">
        <v>34</v>
      </c>
      <c r="Y70" s="29">
        <f ca="1">Y68/Y69</f>
        <v>23.068403599914571</v>
      </c>
      <c r="Z70" s="29">
        <f ca="1">Z68/Z69</f>
        <v>100.21885383985033</v>
      </c>
      <c r="AA70" s="22"/>
      <c r="AB70" s="29"/>
      <c r="AC70" s="22"/>
      <c r="AD70" s="6">
        <v>337</v>
      </c>
      <c r="AE70" s="38">
        <f t="shared" ca="1" si="30"/>
        <v>4.3333333333333335E-2</v>
      </c>
      <c r="AF70" s="39">
        <f t="shared" ca="1" si="31"/>
        <v>0.01</v>
      </c>
      <c r="AG70" s="28"/>
      <c r="AH70" s="28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</row>
    <row r="71" spans="1:54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1">
        <v>359</v>
      </c>
      <c r="Q71" s="16">
        <f t="shared" ca="1" si="32"/>
        <v>0.04</v>
      </c>
      <c r="R71" s="16">
        <f t="shared" ca="1" si="33"/>
        <v>0.04</v>
      </c>
      <c r="S71" s="16">
        <f t="shared" ca="1" si="34"/>
        <v>0.05</v>
      </c>
      <c r="T71" s="16">
        <f t="shared" ca="1" si="35"/>
        <v>0.01</v>
      </c>
      <c r="U71" s="16">
        <f t="shared" ca="1" si="36"/>
        <v>0.01</v>
      </c>
      <c r="V71" s="16">
        <f t="shared" ca="1" si="37"/>
        <v>0.01</v>
      </c>
      <c r="W71" s="22"/>
      <c r="X71" s="22"/>
      <c r="Y71" s="22"/>
      <c r="Z71" s="22"/>
      <c r="AA71" s="22"/>
      <c r="AB71" s="22"/>
      <c r="AC71" s="22"/>
      <c r="AD71" s="6">
        <v>336</v>
      </c>
      <c r="AE71" s="38">
        <f t="shared" ref="AE71:AE92" ca="1" si="38">AVERAGE(Q94:S94)</f>
        <v>4.3333333333333335E-2</v>
      </c>
      <c r="AF71" s="39">
        <f t="shared" ref="AF71:AF92" ca="1" si="39">AVERAGE(T94:V94)</f>
        <v>0.01</v>
      </c>
      <c r="AG71" s="28"/>
      <c r="AH71" s="28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</row>
    <row r="72" spans="1:54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1">
        <v>358</v>
      </c>
      <c r="Q72" s="16">
        <f t="shared" ca="1" si="32"/>
        <v>0.04</v>
      </c>
      <c r="R72" s="16">
        <f t="shared" ca="1" si="33"/>
        <v>0.04</v>
      </c>
      <c r="S72" s="16">
        <f t="shared" ca="1" si="34"/>
        <v>0.05</v>
      </c>
      <c r="T72" s="16">
        <f t="shared" ca="1" si="35"/>
        <v>0.01</v>
      </c>
      <c r="U72" s="16">
        <f t="shared" ca="1" si="36"/>
        <v>0.01</v>
      </c>
      <c r="V72" s="16">
        <f t="shared" ca="1" si="37"/>
        <v>0.01</v>
      </c>
      <c r="W72" s="22"/>
      <c r="X72" s="22"/>
      <c r="Y72" s="22"/>
      <c r="Z72" s="22"/>
      <c r="AA72" s="22"/>
      <c r="AB72" s="22"/>
      <c r="AC72" s="22"/>
      <c r="AD72" s="6">
        <v>335</v>
      </c>
      <c r="AE72" s="38">
        <f t="shared" ca="1" si="38"/>
        <v>4.3333333333333335E-2</v>
      </c>
      <c r="AF72" s="39">
        <f t="shared" ca="1" si="39"/>
        <v>0.01</v>
      </c>
      <c r="AG72" s="28"/>
      <c r="AH72" s="28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</row>
    <row r="73" spans="1:54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1">
        <v>357</v>
      </c>
      <c r="Q73" s="16">
        <f t="shared" ca="1" si="32"/>
        <v>0.04</v>
      </c>
      <c r="R73" s="16">
        <f t="shared" ca="1" si="33"/>
        <v>0.04</v>
      </c>
      <c r="S73" s="16">
        <f t="shared" ca="1" si="34"/>
        <v>0.05</v>
      </c>
      <c r="T73" s="16">
        <f t="shared" ca="1" si="35"/>
        <v>0.01</v>
      </c>
      <c r="U73" s="16">
        <f t="shared" ca="1" si="36"/>
        <v>0.01</v>
      </c>
      <c r="V73" s="16">
        <f t="shared" ca="1" si="37"/>
        <v>0.01</v>
      </c>
      <c r="W73" s="22"/>
      <c r="X73" s="22"/>
      <c r="Y73" s="22"/>
      <c r="Z73" s="22"/>
      <c r="AA73" s="22"/>
      <c r="AB73" s="22"/>
      <c r="AC73" s="22"/>
      <c r="AD73" s="6">
        <v>334</v>
      </c>
      <c r="AE73" s="38">
        <f t="shared" ca="1" si="38"/>
        <v>4.3333333333333335E-2</v>
      </c>
      <c r="AF73" s="39">
        <f t="shared" ca="1" si="39"/>
        <v>0.01</v>
      </c>
      <c r="AG73" s="28"/>
      <c r="AH73" s="28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</row>
    <row r="74" spans="1:54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1">
        <v>356</v>
      </c>
      <c r="Q74" s="16">
        <f t="shared" ca="1" si="32"/>
        <v>0.04</v>
      </c>
      <c r="R74" s="16">
        <f t="shared" ca="1" si="33"/>
        <v>0.04</v>
      </c>
      <c r="S74" s="16">
        <f t="shared" ca="1" si="34"/>
        <v>0.05</v>
      </c>
      <c r="T74" s="16">
        <f t="shared" ca="1" si="35"/>
        <v>0.01</v>
      </c>
      <c r="U74" s="16">
        <f t="shared" ca="1" si="36"/>
        <v>0.01</v>
      </c>
      <c r="V74" s="16">
        <f t="shared" ca="1" si="37"/>
        <v>0.01</v>
      </c>
      <c r="W74" s="22"/>
      <c r="X74" s="22"/>
      <c r="Y74" s="22"/>
      <c r="Z74" s="22"/>
      <c r="AA74" s="22"/>
      <c r="AB74" s="22"/>
      <c r="AC74" s="22"/>
      <c r="AD74" s="6">
        <v>333</v>
      </c>
      <c r="AE74" s="38">
        <f t="shared" ca="1" si="38"/>
        <v>4.3333333333333335E-2</v>
      </c>
      <c r="AF74" s="39">
        <f t="shared" ca="1" si="39"/>
        <v>0.01</v>
      </c>
      <c r="AG74" s="28"/>
      <c r="AH74" s="28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</row>
    <row r="75" spans="1:54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1">
        <v>355</v>
      </c>
      <c r="Q75" s="16">
        <f t="shared" ca="1" si="32"/>
        <v>0.04</v>
      </c>
      <c r="R75" s="16">
        <f t="shared" ca="1" si="33"/>
        <v>0.04</v>
      </c>
      <c r="S75" s="16">
        <f t="shared" ca="1" si="34"/>
        <v>0.05</v>
      </c>
      <c r="T75" s="16">
        <f t="shared" ca="1" si="35"/>
        <v>0.01</v>
      </c>
      <c r="U75" s="16">
        <f t="shared" ca="1" si="36"/>
        <v>0.01</v>
      </c>
      <c r="V75" s="16">
        <f t="shared" ca="1" si="37"/>
        <v>0.01</v>
      </c>
      <c r="W75" s="22"/>
      <c r="X75" s="22"/>
      <c r="Y75" s="22"/>
      <c r="Z75" s="22"/>
      <c r="AA75" s="22"/>
      <c r="AB75" s="22"/>
      <c r="AC75" s="22"/>
      <c r="AD75" s="6">
        <v>332</v>
      </c>
      <c r="AE75" s="38">
        <f t="shared" ca="1" si="38"/>
        <v>4.3333333333333335E-2</v>
      </c>
      <c r="AF75" s="39">
        <f t="shared" ca="1" si="39"/>
        <v>0.01</v>
      </c>
      <c r="AG75" s="28"/>
      <c r="AH75" s="28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</row>
    <row r="76" spans="1:54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1">
        <v>354</v>
      </c>
      <c r="Q76" s="16">
        <f t="shared" ca="1" si="32"/>
        <v>0.04</v>
      </c>
      <c r="R76" s="16">
        <f t="shared" ca="1" si="33"/>
        <v>0.04</v>
      </c>
      <c r="S76" s="16">
        <f t="shared" ca="1" si="34"/>
        <v>0.05</v>
      </c>
      <c r="T76" s="16">
        <f t="shared" ca="1" si="35"/>
        <v>0.01</v>
      </c>
      <c r="U76" s="16">
        <f t="shared" ca="1" si="36"/>
        <v>0.01</v>
      </c>
      <c r="V76" s="16">
        <f t="shared" ca="1" si="37"/>
        <v>0.01</v>
      </c>
      <c r="W76" s="22"/>
      <c r="X76" s="22"/>
      <c r="Y76" s="22"/>
      <c r="Z76" s="22"/>
      <c r="AA76" s="22"/>
      <c r="AB76" s="22"/>
      <c r="AC76" s="22"/>
      <c r="AD76" s="6">
        <v>331</v>
      </c>
      <c r="AE76" s="38">
        <f t="shared" ca="1" si="38"/>
        <v>4.3333333333333335E-2</v>
      </c>
      <c r="AF76" s="39">
        <f t="shared" ca="1" si="39"/>
        <v>0.01</v>
      </c>
      <c r="AG76" s="28"/>
      <c r="AH76" s="28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</row>
    <row r="77" spans="1:54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1">
        <v>353</v>
      </c>
      <c r="Q77" s="16">
        <f t="shared" ca="1" si="32"/>
        <v>0.04</v>
      </c>
      <c r="R77" s="16">
        <f t="shared" ca="1" si="33"/>
        <v>0.04</v>
      </c>
      <c r="S77" s="16">
        <f t="shared" ca="1" si="34"/>
        <v>0.05</v>
      </c>
      <c r="T77" s="16">
        <f t="shared" ca="1" si="35"/>
        <v>0.01</v>
      </c>
      <c r="U77" s="16">
        <f t="shared" ca="1" si="36"/>
        <v>0.01</v>
      </c>
      <c r="V77" s="16">
        <f t="shared" ca="1" si="37"/>
        <v>0.01</v>
      </c>
      <c r="W77" s="22"/>
      <c r="X77" s="22"/>
      <c r="Y77" s="22"/>
      <c r="Z77" s="22"/>
      <c r="AA77" s="22"/>
      <c r="AB77" s="22"/>
      <c r="AC77" s="22"/>
      <c r="AD77" s="6">
        <v>330</v>
      </c>
      <c r="AE77" s="38">
        <f t="shared" ca="1" si="38"/>
        <v>4.3333333333333335E-2</v>
      </c>
      <c r="AF77" s="39">
        <f t="shared" ca="1" si="39"/>
        <v>0.01</v>
      </c>
      <c r="AG77" s="28"/>
      <c r="AH77" s="28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</row>
    <row r="78" spans="1:54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1">
        <v>352</v>
      </c>
      <c r="Q78" s="16">
        <f t="shared" ca="1" si="32"/>
        <v>0.04</v>
      </c>
      <c r="R78" s="16">
        <f t="shared" ca="1" si="33"/>
        <v>0.04</v>
      </c>
      <c r="S78" s="16">
        <f t="shared" ca="1" si="34"/>
        <v>0.05</v>
      </c>
      <c r="T78" s="16">
        <f t="shared" ca="1" si="35"/>
        <v>0.01</v>
      </c>
      <c r="U78" s="16">
        <f t="shared" ca="1" si="36"/>
        <v>0.01</v>
      </c>
      <c r="V78" s="16">
        <f t="shared" ca="1" si="37"/>
        <v>0.01</v>
      </c>
      <c r="W78" s="22"/>
      <c r="X78" s="22"/>
      <c r="Y78" s="22"/>
      <c r="Z78" s="22"/>
      <c r="AA78" s="22"/>
      <c r="AB78" s="22"/>
      <c r="AC78" s="22"/>
      <c r="AD78" s="6">
        <v>329</v>
      </c>
      <c r="AE78" s="38">
        <f t="shared" ca="1" si="38"/>
        <v>4.3333333333333335E-2</v>
      </c>
      <c r="AF78" s="39">
        <f t="shared" ca="1" si="39"/>
        <v>0.01</v>
      </c>
      <c r="AG78" s="28"/>
      <c r="AH78" s="28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</row>
    <row r="79" spans="1:54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1">
        <v>351</v>
      </c>
      <c r="Q79" s="16">
        <f t="shared" ca="1" si="32"/>
        <v>0.04</v>
      </c>
      <c r="R79" s="16">
        <f t="shared" ca="1" si="33"/>
        <v>0.04</v>
      </c>
      <c r="S79" s="16">
        <f t="shared" ca="1" si="34"/>
        <v>0.05</v>
      </c>
      <c r="T79" s="16">
        <f t="shared" ca="1" si="35"/>
        <v>0.01</v>
      </c>
      <c r="U79" s="16">
        <f t="shared" ca="1" si="36"/>
        <v>0.01</v>
      </c>
      <c r="V79" s="16">
        <f t="shared" ca="1" si="37"/>
        <v>0.01</v>
      </c>
      <c r="W79" s="22"/>
      <c r="X79" s="22"/>
      <c r="Y79" s="22"/>
      <c r="Z79" s="22"/>
      <c r="AA79" s="22"/>
      <c r="AB79" s="22"/>
      <c r="AC79" s="22"/>
      <c r="AD79" s="6">
        <v>328</v>
      </c>
      <c r="AE79" s="38">
        <f t="shared" ca="1" si="38"/>
        <v>4.3333333333333335E-2</v>
      </c>
      <c r="AF79" s="39">
        <f t="shared" ca="1" si="39"/>
        <v>0.01</v>
      </c>
      <c r="AG79" s="28"/>
      <c r="AH79" s="28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</row>
    <row r="80" spans="1:54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1">
        <v>350</v>
      </c>
      <c r="Q80" s="16">
        <f t="shared" ca="1" si="32"/>
        <v>0.04</v>
      </c>
      <c r="R80" s="16">
        <f t="shared" ca="1" si="33"/>
        <v>0.04</v>
      </c>
      <c r="S80" s="16">
        <f t="shared" ca="1" si="34"/>
        <v>0.05</v>
      </c>
      <c r="T80" s="16">
        <f t="shared" ca="1" si="35"/>
        <v>0</v>
      </c>
      <c r="U80" s="16">
        <f t="shared" ca="1" si="36"/>
        <v>0</v>
      </c>
      <c r="V80" s="16">
        <f t="shared" ca="1" si="37"/>
        <v>0</v>
      </c>
      <c r="W80" s="22"/>
      <c r="X80" s="22"/>
      <c r="Y80" s="22"/>
      <c r="Z80" s="22"/>
      <c r="AA80" s="22"/>
      <c r="AB80" s="22"/>
      <c r="AC80" s="22"/>
      <c r="AD80" s="6">
        <v>327</v>
      </c>
      <c r="AE80" s="38">
        <f t="shared" ca="1" si="38"/>
        <v>4.3333333333333335E-2</v>
      </c>
      <c r="AF80" s="39">
        <f t="shared" ca="1" si="39"/>
        <v>0.01</v>
      </c>
      <c r="AG80" s="28"/>
      <c r="AH80" s="28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</row>
    <row r="81" spans="1:54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1">
        <v>349</v>
      </c>
      <c r="Q81" s="16">
        <f t="shared" ca="1" si="32"/>
        <v>0.04</v>
      </c>
      <c r="R81" s="16">
        <f t="shared" ca="1" si="33"/>
        <v>0.04</v>
      </c>
      <c r="S81" s="16">
        <f t="shared" ca="1" si="34"/>
        <v>0.05</v>
      </c>
      <c r="T81" s="16">
        <f t="shared" ca="1" si="35"/>
        <v>0.01</v>
      </c>
      <c r="U81" s="16">
        <f t="shared" ca="1" si="36"/>
        <v>0.01</v>
      </c>
      <c r="V81" s="16">
        <f t="shared" ca="1" si="37"/>
        <v>0.01</v>
      </c>
      <c r="W81" s="22"/>
      <c r="X81" s="22"/>
      <c r="Y81" s="22"/>
      <c r="Z81" s="22"/>
      <c r="AA81" s="22"/>
      <c r="AB81" s="22"/>
      <c r="AC81" s="22"/>
      <c r="AD81" s="6">
        <v>326</v>
      </c>
      <c r="AE81" s="38">
        <f t="shared" ca="1" si="38"/>
        <v>4.3333333333333335E-2</v>
      </c>
      <c r="AF81" s="39">
        <f t="shared" ca="1" si="39"/>
        <v>0.01</v>
      </c>
      <c r="AG81" s="28"/>
      <c r="AH81" s="28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</row>
    <row r="82" spans="1:54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1">
        <v>348</v>
      </c>
      <c r="Q82" s="16">
        <f t="shared" ca="1" si="32"/>
        <v>0.04</v>
      </c>
      <c r="R82" s="16">
        <f t="shared" ca="1" si="33"/>
        <v>0.04</v>
      </c>
      <c r="S82" s="16">
        <f t="shared" ca="1" si="34"/>
        <v>0.05</v>
      </c>
      <c r="T82" s="16">
        <f t="shared" ca="1" si="35"/>
        <v>0.01</v>
      </c>
      <c r="U82" s="16">
        <f t="shared" ca="1" si="36"/>
        <v>0.01</v>
      </c>
      <c r="V82" s="16">
        <f t="shared" ca="1" si="37"/>
        <v>0.01</v>
      </c>
      <c r="W82" s="22"/>
      <c r="X82" s="22"/>
      <c r="Y82" s="22"/>
      <c r="Z82" s="22"/>
      <c r="AA82" s="22"/>
      <c r="AB82" s="22"/>
      <c r="AC82" s="22"/>
      <c r="AD82" s="6">
        <v>325</v>
      </c>
      <c r="AE82" s="38">
        <f t="shared" ca="1" si="38"/>
        <v>4.3333333333333335E-2</v>
      </c>
      <c r="AF82" s="39">
        <f t="shared" ca="1" si="39"/>
        <v>0.01</v>
      </c>
      <c r="AG82" s="28"/>
      <c r="AH82" s="28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</row>
    <row r="83" spans="1:54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1">
        <v>347</v>
      </c>
      <c r="Q83" s="16">
        <f t="shared" ca="1" si="32"/>
        <v>0.04</v>
      </c>
      <c r="R83" s="16">
        <f t="shared" ca="1" si="33"/>
        <v>0.04</v>
      </c>
      <c r="S83" s="16">
        <f t="shared" ca="1" si="34"/>
        <v>0.05</v>
      </c>
      <c r="T83" s="16">
        <f t="shared" ca="1" si="35"/>
        <v>0.01</v>
      </c>
      <c r="U83" s="16">
        <f t="shared" ca="1" si="36"/>
        <v>0.01</v>
      </c>
      <c r="V83" s="16">
        <f t="shared" ca="1" si="37"/>
        <v>0.01</v>
      </c>
      <c r="W83" s="22"/>
      <c r="X83" s="22"/>
      <c r="Y83" s="22"/>
      <c r="Z83" s="22"/>
      <c r="AA83" s="22"/>
      <c r="AB83" s="22"/>
      <c r="AC83" s="22"/>
      <c r="AD83" s="6">
        <v>324</v>
      </c>
      <c r="AE83" s="38">
        <f t="shared" ca="1" si="38"/>
        <v>4.3333333333333335E-2</v>
      </c>
      <c r="AF83" s="39">
        <f t="shared" ca="1" si="39"/>
        <v>0.01</v>
      </c>
      <c r="AG83" s="28"/>
      <c r="AH83" s="28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</row>
    <row r="84" spans="1:54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1">
        <v>346</v>
      </c>
      <c r="Q84" s="16">
        <f t="shared" ca="1" si="32"/>
        <v>0.04</v>
      </c>
      <c r="R84" s="16">
        <f t="shared" ca="1" si="33"/>
        <v>0.04</v>
      </c>
      <c r="S84" s="16">
        <f t="shared" ca="1" si="34"/>
        <v>0.05</v>
      </c>
      <c r="T84" s="16">
        <f t="shared" ca="1" si="35"/>
        <v>0.01</v>
      </c>
      <c r="U84" s="16">
        <f t="shared" ca="1" si="36"/>
        <v>0.01</v>
      </c>
      <c r="V84" s="16">
        <f t="shared" ca="1" si="37"/>
        <v>0.01</v>
      </c>
      <c r="W84" s="22"/>
      <c r="X84" s="22"/>
      <c r="Y84" s="22"/>
      <c r="Z84" s="22"/>
      <c r="AA84" s="22"/>
      <c r="AB84" s="22"/>
      <c r="AC84" s="22"/>
      <c r="AD84" s="6">
        <v>323</v>
      </c>
      <c r="AE84" s="38">
        <f t="shared" ca="1" si="38"/>
        <v>4.3333333333333335E-2</v>
      </c>
      <c r="AF84" s="39">
        <f t="shared" ca="1" si="39"/>
        <v>0.01</v>
      </c>
      <c r="AG84" s="28"/>
      <c r="AH84" s="28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</row>
    <row r="85" spans="1:54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1">
        <v>345</v>
      </c>
      <c r="Q85" s="16">
        <f t="shared" ca="1" si="32"/>
        <v>0.04</v>
      </c>
      <c r="R85" s="16">
        <f t="shared" ca="1" si="33"/>
        <v>0.04</v>
      </c>
      <c r="S85" s="16">
        <f t="shared" ca="1" si="34"/>
        <v>0.05</v>
      </c>
      <c r="T85" s="16">
        <f t="shared" ca="1" si="35"/>
        <v>0.01</v>
      </c>
      <c r="U85" s="16">
        <f t="shared" ca="1" si="36"/>
        <v>0.01</v>
      </c>
      <c r="V85" s="16">
        <f t="shared" ca="1" si="37"/>
        <v>0.01</v>
      </c>
      <c r="W85" s="22"/>
      <c r="X85" s="22"/>
      <c r="Y85" s="22"/>
      <c r="Z85" s="22"/>
      <c r="AA85" s="22"/>
      <c r="AB85" s="22"/>
      <c r="AC85" s="22"/>
      <c r="AD85" s="6">
        <v>322</v>
      </c>
      <c r="AE85" s="38">
        <f t="shared" ca="1" si="38"/>
        <v>4.3333333333333335E-2</v>
      </c>
      <c r="AF85" s="39">
        <f t="shared" ca="1" si="39"/>
        <v>0.01</v>
      </c>
      <c r="AG85" s="28"/>
      <c r="AH85" s="28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</row>
    <row r="86" spans="1:54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1">
        <v>344</v>
      </c>
      <c r="Q86" s="16">
        <f t="shared" ca="1" si="32"/>
        <v>0.04</v>
      </c>
      <c r="R86" s="16">
        <f t="shared" ca="1" si="33"/>
        <v>0.04</v>
      </c>
      <c r="S86" s="16">
        <f t="shared" ca="1" si="34"/>
        <v>0.05</v>
      </c>
      <c r="T86" s="16">
        <f t="shared" ca="1" si="35"/>
        <v>0.01</v>
      </c>
      <c r="U86" s="16">
        <f t="shared" ca="1" si="36"/>
        <v>0.01</v>
      </c>
      <c r="V86" s="16">
        <f t="shared" ca="1" si="37"/>
        <v>0.01</v>
      </c>
      <c r="W86" s="22"/>
      <c r="X86" s="22"/>
      <c r="Y86" s="22"/>
      <c r="Z86" s="22"/>
      <c r="AA86" s="22"/>
      <c r="AB86" s="22"/>
      <c r="AC86" s="22"/>
      <c r="AD86" s="6">
        <v>321</v>
      </c>
      <c r="AE86" s="38">
        <f t="shared" ca="1" si="38"/>
        <v>4.3333333333333335E-2</v>
      </c>
      <c r="AF86" s="39">
        <f t="shared" ca="1" si="39"/>
        <v>0.01</v>
      </c>
      <c r="AG86" s="28"/>
      <c r="AH86" s="28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</row>
    <row r="87" spans="1:54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1">
        <v>343</v>
      </c>
      <c r="Q87" s="16">
        <f t="shared" ca="1" si="32"/>
        <v>0.04</v>
      </c>
      <c r="R87" s="16">
        <f t="shared" ca="1" si="33"/>
        <v>0.04</v>
      </c>
      <c r="S87" s="16">
        <f t="shared" ca="1" si="34"/>
        <v>0.05</v>
      </c>
      <c r="T87" s="16">
        <f t="shared" ca="1" si="35"/>
        <v>0.01</v>
      </c>
      <c r="U87" s="16">
        <f t="shared" ca="1" si="36"/>
        <v>0.01</v>
      </c>
      <c r="V87" s="16">
        <f t="shared" ca="1" si="37"/>
        <v>0.01</v>
      </c>
      <c r="W87" s="22"/>
      <c r="X87" s="22"/>
      <c r="Y87" s="22"/>
      <c r="Z87" s="22"/>
      <c r="AA87" s="22"/>
      <c r="AB87" s="22"/>
      <c r="AC87" s="22"/>
      <c r="AD87" s="6">
        <v>320</v>
      </c>
      <c r="AE87" s="38">
        <f t="shared" ca="1" si="38"/>
        <v>4.3333333333333335E-2</v>
      </c>
      <c r="AF87" s="39">
        <f t="shared" ca="1" si="39"/>
        <v>0.01</v>
      </c>
      <c r="AG87" s="28"/>
      <c r="AH87" s="28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</row>
    <row r="88" spans="1:54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1">
        <v>342</v>
      </c>
      <c r="Q88" s="16">
        <f t="shared" ca="1" si="32"/>
        <v>0.04</v>
      </c>
      <c r="R88" s="16">
        <f t="shared" ca="1" si="33"/>
        <v>0.04</v>
      </c>
      <c r="S88" s="16">
        <f t="shared" ca="1" si="34"/>
        <v>0.05</v>
      </c>
      <c r="T88" s="16">
        <f t="shared" ca="1" si="35"/>
        <v>0.01</v>
      </c>
      <c r="U88" s="16">
        <f t="shared" ca="1" si="36"/>
        <v>0.01</v>
      </c>
      <c r="V88" s="16">
        <f t="shared" ca="1" si="37"/>
        <v>0.01</v>
      </c>
      <c r="W88" s="22"/>
      <c r="X88" s="22"/>
      <c r="Y88" s="22"/>
      <c r="Z88" s="22"/>
      <c r="AA88" s="22"/>
      <c r="AB88" s="22"/>
      <c r="AC88" s="22"/>
      <c r="AD88" s="6">
        <v>319</v>
      </c>
      <c r="AE88" s="38">
        <f t="shared" ca="1" si="38"/>
        <v>4.3333333333333335E-2</v>
      </c>
      <c r="AF88" s="39">
        <f t="shared" ca="1" si="39"/>
        <v>0.01</v>
      </c>
      <c r="AG88" s="28"/>
      <c r="AH88" s="28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</row>
    <row r="89" spans="1:54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1">
        <v>341</v>
      </c>
      <c r="Q89" s="16">
        <f t="shared" ca="1" si="32"/>
        <v>0.04</v>
      </c>
      <c r="R89" s="16">
        <f t="shared" ca="1" si="33"/>
        <v>0.04</v>
      </c>
      <c r="S89" s="16">
        <f t="shared" ca="1" si="34"/>
        <v>0.05</v>
      </c>
      <c r="T89" s="16">
        <f t="shared" ca="1" si="35"/>
        <v>0.01</v>
      </c>
      <c r="U89" s="16">
        <f t="shared" ca="1" si="36"/>
        <v>0.01</v>
      </c>
      <c r="V89" s="16">
        <f t="shared" ca="1" si="37"/>
        <v>0.01</v>
      </c>
      <c r="W89" s="22"/>
      <c r="X89" s="22"/>
      <c r="Y89" s="22"/>
      <c r="Z89" s="22"/>
      <c r="AA89" s="22"/>
      <c r="AB89" s="22"/>
      <c r="AC89" s="22"/>
      <c r="AD89" s="6">
        <v>318</v>
      </c>
      <c r="AE89" s="38">
        <f t="shared" ca="1" si="38"/>
        <v>4.3333333333333335E-2</v>
      </c>
      <c r="AF89" s="39">
        <f t="shared" ca="1" si="39"/>
        <v>0.01</v>
      </c>
      <c r="AG89" s="28"/>
      <c r="AH89" s="28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</row>
    <row r="90" spans="1:54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1">
        <v>340</v>
      </c>
      <c r="Q90" s="16">
        <f t="shared" ca="1" si="32"/>
        <v>0.04</v>
      </c>
      <c r="R90" s="16">
        <f t="shared" ca="1" si="33"/>
        <v>0.04</v>
      </c>
      <c r="S90" s="16">
        <f t="shared" ca="1" si="34"/>
        <v>0.05</v>
      </c>
      <c r="T90" s="16">
        <f t="shared" ca="1" si="35"/>
        <v>0.01</v>
      </c>
      <c r="U90" s="16">
        <f t="shared" ca="1" si="36"/>
        <v>0.01</v>
      </c>
      <c r="V90" s="16">
        <f t="shared" ca="1" si="37"/>
        <v>0.01</v>
      </c>
      <c r="W90" s="22"/>
      <c r="X90" s="22"/>
      <c r="Y90" s="22"/>
      <c r="Z90" s="22"/>
      <c r="AA90" s="22"/>
      <c r="AB90" s="22"/>
      <c r="AC90" s="22"/>
      <c r="AD90" s="6">
        <v>317</v>
      </c>
      <c r="AE90" s="38">
        <f t="shared" ca="1" si="38"/>
        <v>4.3333333333333335E-2</v>
      </c>
      <c r="AF90" s="39">
        <f t="shared" ca="1" si="39"/>
        <v>0.01</v>
      </c>
      <c r="AG90" s="28"/>
      <c r="AH90" s="28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</row>
    <row r="91" spans="1:54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1">
        <v>339</v>
      </c>
      <c r="Q91" s="16">
        <f t="shared" ca="1" si="32"/>
        <v>0.04</v>
      </c>
      <c r="R91" s="16">
        <f t="shared" ca="1" si="33"/>
        <v>0.04</v>
      </c>
      <c r="S91" s="16">
        <f t="shared" ca="1" si="34"/>
        <v>0.05</v>
      </c>
      <c r="T91" s="16">
        <f t="shared" ca="1" si="35"/>
        <v>0.01</v>
      </c>
      <c r="U91" s="16">
        <f t="shared" ca="1" si="36"/>
        <v>0.01</v>
      </c>
      <c r="V91" s="16">
        <f t="shared" ca="1" si="37"/>
        <v>0.01</v>
      </c>
      <c r="W91" s="22"/>
      <c r="X91" s="22"/>
      <c r="Y91" s="22"/>
      <c r="Z91" s="22"/>
      <c r="AA91" s="22"/>
      <c r="AB91" s="22"/>
      <c r="AC91" s="22"/>
      <c r="AD91" s="6">
        <v>316</v>
      </c>
      <c r="AE91" s="38">
        <f t="shared" ca="1" si="38"/>
        <v>4.3333333333333335E-2</v>
      </c>
      <c r="AF91" s="39">
        <f t="shared" ca="1" si="39"/>
        <v>0.01</v>
      </c>
      <c r="AG91" s="28"/>
      <c r="AH91" s="28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</row>
    <row r="92" spans="1:54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1">
        <v>338</v>
      </c>
      <c r="Q92" s="16">
        <f t="shared" ca="1" si="32"/>
        <v>0.04</v>
      </c>
      <c r="R92" s="16">
        <f t="shared" ca="1" si="33"/>
        <v>0.04</v>
      </c>
      <c r="S92" s="16">
        <f t="shared" ca="1" si="34"/>
        <v>0.05</v>
      </c>
      <c r="T92" s="16">
        <f t="shared" ca="1" si="35"/>
        <v>0.01</v>
      </c>
      <c r="U92" s="16">
        <f t="shared" ca="1" si="36"/>
        <v>0.01</v>
      </c>
      <c r="V92" s="16">
        <f t="shared" ca="1" si="37"/>
        <v>0.01</v>
      </c>
      <c r="W92" s="22"/>
      <c r="X92" s="22"/>
      <c r="Y92" s="22"/>
      <c r="Z92" s="22"/>
      <c r="AA92" s="22"/>
      <c r="AB92" s="22"/>
      <c r="AC92" s="22"/>
      <c r="AD92" s="6">
        <v>315</v>
      </c>
      <c r="AE92" s="38">
        <f t="shared" ca="1" si="38"/>
        <v>4.3333333333333335E-2</v>
      </c>
      <c r="AF92" s="39">
        <f t="shared" ca="1" si="39"/>
        <v>0.01</v>
      </c>
      <c r="AG92" s="28"/>
      <c r="AH92" s="28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</row>
    <row r="93" spans="1:54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1">
        <v>337</v>
      </c>
      <c r="Q93" s="16">
        <f t="shared" ca="1" si="32"/>
        <v>0.04</v>
      </c>
      <c r="R93" s="16">
        <f t="shared" ca="1" si="33"/>
        <v>0.04</v>
      </c>
      <c r="S93" s="16">
        <f t="shared" ca="1" si="34"/>
        <v>0.05</v>
      </c>
      <c r="T93" s="16">
        <f t="shared" ca="1" si="35"/>
        <v>0.01</v>
      </c>
      <c r="U93" s="16">
        <f t="shared" ca="1" si="36"/>
        <v>0.01</v>
      </c>
      <c r="V93" s="16">
        <f t="shared" ca="1" si="37"/>
        <v>0.01</v>
      </c>
      <c r="W93" s="22"/>
      <c r="X93" s="22"/>
      <c r="Y93" s="22"/>
      <c r="Z93" s="22"/>
      <c r="AA93" s="22"/>
      <c r="AB93" s="22"/>
      <c r="AC93" s="22"/>
      <c r="AD93" s="22" t="s">
        <v>40</v>
      </c>
      <c r="AE93" s="30">
        <f ca="1">SUM(AE7:AE92)</f>
        <v>3.7333333333333401</v>
      </c>
      <c r="AF93" s="30">
        <f ca="1">SUM(AF7:AF92)</f>
        <v>0.99154761904761968</v>
      </c>
      <c r="AG93" s="30"/>
      <c r="AH93" s="30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</row>
    <row r="94" spans="1:54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1">
        <v>336</v>
      </c>
      <c r="Q94" s="16">
        <f t="shared" ref="Q94:Q125" ca="1" si="40">IF(INDIRECT("J"&amp;ROW(Q94)-27)/100&gt;0,INDIRECT("J"&amp;ROW(Q94)-27)/100,0)</f>
        <v>0.04</v>
      </c>
      <c r="R94" s="16">
        <f t="shared" ref="R94:R125" ca="1" si="41">IF(INDIRECT("K"&amp;ROW(R94)-27)/100&gt;0,INDIRECT("K"&amp;ROW(R94)-27)/100,0)</f>
        <v>0.04</v>
      </c>
      <c r="S94" s="16">
        <f t="shared" ref="S94:S125" ca="1" si="42">IF(INDIRECT("L"&amp;ROW(S94)-27)/100&gt;0,INDIRECT("L"&amp;ROW(S94)-27)/100,0)</f>
        <v>0.05</v>
      </c>
      <c r="T94" s="16">
        <f t="shared" ref="T94:T125" ca="1" si="43">IF(INDIRECT("M"&amp;ROW(T94)-27)/100&gt;0,INDIRECT("M"&amp;ROW(T94)-27)/100,0)</f>
        <v>0.01</v>
      </c>
      <c r="U94" s="16">
        <f t="shared" ref="U94:U125" ca="1" si="44">IF(INDIRECT("N"&amp;ROW(U94)-27)/100&gt;0,INDIRECT("N"&amp;ROW(U94)-27)/100,0)</f>
        <v>0.01</v>
      </c>
      <c r="V94" s="16">
        <f t="shared" ref="V94:V125" ca="1" si="45">IF(INDIRECT("O"&amp;ROW(V94)-27)/100&gt;0,INDIRECT("O"&amp;ROW(V94)-27)/100,0)</f>
        <v>0.01</v>
      </c>
      <c r="W94" s="22"/>
      <c r="X94" s="22"/>
      <c r="Y94" s="22"/>
      <c r="Z94" s="22"/>
      <c r="AA94" s="22"/>
      <c r="AB94" s="22"/>
      <c r="AC94" s="22"/>
      <c r="AD94" s="22" t="s">
        <v>41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</row>
    <row r="95" spans="1:54" ht="18.75" x14ac:dyDescent="0.3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1">
        <v>335</v>
      </c>
      <c r="Q95" s="16">
        <f t="shared" ca="1" si="40"/>
        <v>0.04</v>
      </c>
      <c r="R95" s="16">
        <f t="shared" ca="1" si="41"/>
        <v>0.04</v>
      </c>
      <c r="S95" s="16">
        <f t="shared" ca="1" si="42"/>
        <v>0.05</v>
      </c>
      <c r="T95" s="16">
        <f t="shared" ca="1" si="43"/>
        <v>0.01</v>
      </c>
      <c r="U95" s="16">
        <f t="shared" ca="1" si="44"/>
        <v>0.01</v>
      </c>
      <c r="V95" s="16">
        <f t="shared" ca="1" si="45"/>
        <v>0.01</v>
      </c>
      <c r="W95" s="22"/>
      <c r="X95" s="22"/>
      <c r="Y95" s="22"/>
      <c r="Z95" s="22"/>
      <c r="AA95" s="22"/>
      <c r="AB95" s="22"/>
      <c r="AC95" s="22"/>
      <c r="AD95" s="13" t="s">
        <v>42</v>
      </c>
      <c r="AE95" s="31">
        <f ca="1">AE93/AE94</f>
        <v>4.341085271317837E-2</v>
      </c>
      <c r="AF95" s="31">
        <f ca="1">AF93/AF94</f>
        <v>1.1529623477297904E-2</v>
      </c>
      <c r="AG95" s="31"/>
      <c r="AH95" s="31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</row>
    <row r="96" spans="1:54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1">
        <v>334</v>
      </c>
      <c r="Q96" s="16">
        <f t="shared" ca="1" si="40"/>
        <v>0.04</v>
      </c>
      <c r="R96" s="16">
        <f t="shared" ca="1" si="41"/>
        <v>0.04</v>
      </c>
      <c r="S96" s="16">
        <f t="shared" ca="1" si="42"/>
        <v>0.05</v>
      </c>
      <c r="T96" s="16">
        <f t="shared" ca="1" si="43"/>
        <v>0.01</v>
      </c>
      <c r="U96" s="16">
        <f t="shared" ca="1" si="44"/>
        <v>0.01</v>
      </c>
      <c r="V96" s="16">
        <f t="shared" ca="1" si="45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</row>
    <row r="97" spans="1:54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1">
        <v>333</v>
      </c>
      <c r="Q97" s="16">
        <f t="shared" ca="1" si="40"/>
        <v>0.04</v>
      </c>
      <c r="R97" s="16">
        <f t="shared" ca="1" si="41"/>
        <v>0.04</v>
      </c>
      <c r="S97" s="16">
        <f t="shared" ca="1" si="42"/>
        <v>0.05</v>
      </c>
      <c r="T97" s="16">
        <f t="shared" ca="1" si="43"/>
        <v>0.01</v>
      </c>
      <c r="U97" s="16">
        <f t="shared" ca="1" si="44"/>
        <v>0.01</v>
      </c>
      <c r="V97" s="16">
        <f t="shared" ca="1" si="45"/>
        <v>0.01</v>
      </c>
      <c r="W97" s="22"/>
      <c r="X97" s="22"/>
      <c r="Y97" s="22"/>
      <c r="Z97" s="22"/>
      <c r="AA97" s="22"/>
      <c r="AB97" s="22"/>
      <c r="AC97" s="22"/>
      <c r="AD97" s="15" t="s">
        <v>44</v>
      </c>
      <c r="AE97" s="6"/>
      <c r="AF97" s="6"/>
      <c r="AG97" s="6"/>
      <c r="AH97" s="6"/>
      <c r="AI97" s="6"/>
      <c r="AJ97" s="6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</row>
    <row r="98" spans="1:54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1">
        <v>332</v>
      </c>
      <c r="Q98" s="16">
        <f t="shared" ca="1" si="40"/>
        <v>0.04</v>
      </c>
      <c r="R98" s="16">
        <f t="shared" ca="1" si="41"/>
        <v>0.04</v>
      </c>
      <c r="S98" s="16">
        <f t="shared" ca="1" si="42"/>
        <v>0.05</v>
      </c>
      <c r="T98" s="16">
        <f t="shared" ca="1" si="43"/>
        <v>0.01</v>
      </c>
      <c r="U98" s="16">
        <f t="shared" ca="1" si="44"/>
        <v>0.01</v>
      </c>
      <c r="V98" s="16">
        <f t="shared" ca="1" si="45"/>
        <v>0.01</v>
      </c>
      <c r="W98" s="22"/>
      <c r="X98" s="22"/>
      <c r="Y98" s="22"/>
      <c r="Z98" s="22"/>
      <c r="AA98" s="22"/>
      <c r="AB98" s="22"/>
      <c r="AC98" s="22"/>
      <c r="AD98" s="6" t="s">
        <v>25</v>
      </c>
      <c r="AE98" s="6" t="s">
        <v>26</v>
      </c>
      <c r="AF98" s="6"/>
      <c r="AG98" s="6"/>
      <c r="AH98" s="6"/>
      <c r="AI98" s="6"/>
      <c r="AJ98" s="6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</row>
    <row r="99" spans="1:54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1">
        <v>331</v>
      </c>
      <c r="Q99" s="16">
        <f t="shared" ca="1" si="40"/>
        <v>0.04</v>
      </c>
      <c r="R99" s="16">
        <f t="shared" ca="1" si="41"/>
        <v>0.04</v>
      </c>
      <c r="S99" s="16">
        <f t="shared" ca="1" si="42"/>
        <v>0.05</v>
      </c>
      <c r="T99" s="16">
        <f t="shared" ca="1" si="43"/>
        <v>0.01</v>
      </c>
      <c r="U99" s="16">
        <f t="shared" ca="1" si="44"/>
        <v>0.01</v>
      </c>
      <c r="V99" s="16">
        <f t="shared" ca="1" si="45"/>
        <v>0.01</v>
      </c>
      <c r="W99" s="22"/>
      <c r="X99" s="22"/>
      <c r="Y99" s="22"/>
      <c r="Z99" s="22"/>
      <c r="AA99" s="22"/>
      <c r="AB99" s="22"/>
      <c r="AC99" s="22"/>
      <c r="AD99" s="6" t="s">
        <v>1</v>
      </c>
      <c r="AE99" s="6" t="s">
        <v>27</v>
      </c>
      <c r="AF99" s="6"/>
      <c r="AG99" s="6"/>
      <c r="AH99" s="6"/>
      <c r="AI99" s="6"/>
      <c r="AJ99" s="6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</row>
    <row r="100" spans="1:54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1">
        <v>330</v>
      </c>
      <c r="Q100" s="16">
        <f t="shared" ca="1" si="40"/>
        <v>0.04</v>
      </c>
      <c r="R100" s="16">
        <f t="shared" ca="1" si="41"/>
        <v>0.04</v>
      </c>
      <c r="S100" s="16">
        <f t="shared" ca="1" si="42"/>
        <v>0.05</v>
      </c>
      <c r="T100" s="16">
        <f t="shared" ca="1" si="43"/>
        <v>0.01</v>
      </c>
      <c r="U100" s="16">
        <f t="shared" ca="1" si="44"/>
        <v>0.01</v>
      </c>
      <c r="V100" s="16">
        <f t="shared" ca="1" si="45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40">
        <f t="shared" ref="AE100:AE135" ca="1" si="46">AVERAGE(Q115:S115)</f>
        <v>4.3333333333333335E-2</v>
      </c>
      <c r="AF100" s="40">
        <f t="shared" ref="AF100:AF135" ca="1" si="47">AVERAGE(T115:V115)</f>
        <v>0.01</v>
      </c>
      <c r="AG100" s="28"/>
      <c r="AH100" s="28"/>
      <c r="AI100" s="28"/>
      <c r="AJ100" s="28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</row>
    <row r="101" spans="1:54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1">
        <v>329</v>
      </c>
      <c r="Q101" s="16">
        <f t="shared" ca="1" si="40"/>
        <v>0.04</v>
      </c>
      <c r="R101" s="16">
        <f t="shared" ca="1" si="41"/>
        <v>0.04</v>
      </c>
      <c r="S101" s="16">
        <f t="shared" ca="1" si="42"/>
        <v>0.05</v>
      </c>
      <c r="T101" s="16">
        <f t="shared" ca="1" si="43"/>
        <v>0.01</v>
      </c>
      <c r="U101" s="16">
        <f t="shared" ca="1" si="44"/>
        <v>0.01</v>
      </c>
      <c r="V101" s="16">
        <f t="shared" ca="1" si="45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40">
        <f t="shared" ca="1" si="46"/>
        <v>4.3333333333333335E-2</v>
      </c>
      <c r="AF101" s="40">
        <f t="shared" ca="1" si="47"/>
        <v>0.01</v>
      </c>
      <c r="AG101" s="28"/>
      <c r="AH101" s="28"/>
      <c r="AI101" s="28"/>
      <c r="AJ101" s="28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</row>
    <row r="102" spans="1:54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1">
        <v>328</v>
      </c>
      <c r="Q102" s="16">
        <f t="shared" ca="1" si="40"/>
        <v>0.04</v>
      </c>
      <c r="R102" s="16">
        <f t="shared" ca="1" si="41"/>
        <v>0.04</v>
      </c>
      <c r="S102" s="16">
        <f t="shared" ca="1" si="42"/>
        <v>0.05</v>
      </c>
      <c r="T102" s="16">
        <f t="shared" ca="1" si="43"/>
        <v>0.01</v>
      </c>
      <c r="U102" s="16">
        <f t="shared" ca="1" si="44"/>
        <v>0.01</v>
      </c>
      <c r="V102" s="16">
        <f t="shared" ca="1" si="45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40">
        <f t="shared" ca="1" si="46"/>
        <v>4.3333333333333335E-2</v>
      </c>
      <c r="AF102" s="40">
        <f t="shared" ca="1" si="47"/>
        <v>0.01</v>
      </c>
      <c r="AG102" s="28"/>
      <c r="AH102" s="28"/>
      <c r="AI102" s="28"/>
      <c r="AJ102" s="28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</row>
    <row r="103" spans="1:54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1">
        <v>327</v>
      </c>
      <c r="Q103" s="16">
        <f t="shared" ca="1" si="40"/>
        <v>0.04</v>
      </c>
      <c r="R103" s="16">
        <f t="shared" ca="1" si="41"/>
        <v>0.04</v>
      </c>
      <c r="S103" s="16">
        <f t="shared" ca="1" si="42"/>
        <v>0.05</v>
      </c>
      <c r="T103" s="16">
        <f t="shared" ca="1" si="43"/>
        <v>0.01</v>
      </c>
      <c r="U103" s="16">
        <f t="shared" ca="1" si="44"/>
        <v>0.01</v>
      </c>
      <c r="V103" s="16">
        <f t="shared" ca="1" si="45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40">
        <f t="shared" ca="1" si="46"/>
        <v>4.3333333333333335E-2</v>
      </c>
      <c r="AF103" s="40">
        <f t="shared" ca="1" si="47"/>
        <v>0.01</v>
      </c>
      <c r="AG103" s="28"/>
      <c r="AH103" s="28"/>
      <c r="AI103" s="28"/>
      <c r="AJ103" s="28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</row>
    <row r="104" spans="1:54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1">
        <v>326</v>
      </c>
      <c r="Q104" s="16">
        <f t="shared" ca="1" si="40"/>
        <v>0.04</v>
      </c>
      <c r="R104" s="16">
        <f t="shared" ca="1" si="41"/>
        <v>0.04</v>
      </c>
      <c r="S104" s="16">
        <f t="shared" ca="1" si="42"/>
        <v>0.05</v>
      </c>
      <c r="T104" s="16">
        <f t="shared" ca="1" si="43"/>
        <v>0.01</v>
      </c>
      <c r="U104" s="16">
        <f t="shared" ca="1" si="44"/>
        <v>0.01</v>
      </c>
      <c r="V104" s="16">
        <f t="shared" ca="1" si="45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40">
        <f t="shared" ca="1" si="46"/>
        <v>4.3333333333333335E-2</v>
      </c>
      <c r="AF104" s="40">
        <f t="shared" ca="1" si="47"/>
        <v>0.01</v>
      </c>
      <c r="AG104" s="28"/>
      <c r="AH104" s="28"/>
      <c r="AI104" s="28"/>
      <c r="AJ104" s="28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</row>
    <row r="105" spans="1:54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1">
        <v>325</v>
      </c>
      <c r="Q105" s="16">
        <f t="shared" ca="1" si="40"/>
        <v>0.04</v>
      </c>
      <c r="R105" s="16">
        <f t="shared" ca="1" si="41"/>
        <v>0.04</v>
      </c>
      <c r="S105" s="16">
        <f t="shared" ca="1" si="42"/>
        <v>0.05</v>
      </c>
      <c r="T105" s="16">
        <f t="shared" ca="1" si="43"/>
        <v>0.01</v>
      </c>
      <c r="U105" s="16">
        <f t="shared" ca="1" si="44"/>
        <v>0.01</v>
      </c>
      <c r="V105" s="16">
        <f t="shared" ca="1" si="45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40">
        <f t="shared" ca="1" si="46"/>
        <v>4.3333333333333335E-2</v>
      </c>
      <c r="AF105" s="40">
        <f t="shared" ca="1" si="47"/>
        <v>0.01</v>
      </c>
      <c r="AG105" s="28"/>
      <c r="AH105" s="28"/>
      <c r="AI105" s="28"/>
      <c r="AJ105" s="28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</row>
    <row r="106" spans="1:54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1">
        <v>324</v>
      </c>
      <c r="Q106" s="16">
        <f t="shared" ca="1" si="40"/>
        <v>0.04</v>
      </c>
      <c r="R106" s="16">
        <f t="shared" ca="1" si="41"/>
        <v>0.04</v>
      </c>
      <c r="S106" s="16">
        <f t="shared" ca="1" si="42"/>
        <v>0.05</v>
      </c>
      <c r="T106" s="16">
        <f t="shared" ca="1" si="43"/>
        <v>0.01</v>
      </c>
      <c r="U106" s="16">
        <f t="shared" ca="1" si="44"/>
        <v>0.01</v>
      </c>
      <c r="V106" s="16">
        <f t="shared" ca="1" si="45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40">
        <f t="shared" ca="1" si="46"/>
        <v>4.3333333333333335E-2</v>
      </c>
      <c r="AF106" s="40">
        <f t="shared" ca="1" si="47"/>
        <v>0.01</v>
      </c>
      <c r="AG106" s="28"/>
      <c r="AH106" s="28"/>
      <c r="AI106" s="28"/>
      <c r="AJ106" s="28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</row>
    <row r="107" spans="1:54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1">
        <v>323</v>
      </c>
      <c r="Q107" s="16">
        <f t="shared" ca="1" si="40"/>
        <v>0.04</v>
      </c>
      <c r="R107" s="16">
        <f t="shared" ca="1" si="41"/>
        <v>0.04</v>
      </c>
      <c r="S107" s="16">
        <f t="shared" ca="1" si="42"/>
        <v>0.05</v>
      </c>
      <c r="T107" s="16">
        <f t="shared" ca="1" si="43"/>
        <v>0.01</v>
      </c>
      <c r="U107" s="16">
        <f t="shared" ca="1" si="44"/>
        <v>0.01</v>
      </c>
      <c r="V107" s="16">
        <f t="shared" ca="1" si="45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40">
        <f t="shared" ca="1" si="46"/>
        <v>4.3333333333333335E-2</v>
      </c>
      <c r="AF107" s="40">
        <f t="shared" ca="1" si="47"/>
        <v>0.01</v>
      </c>
      <c r="AG107" s="28"/>
      <c r="AH107" s="28"/>
      <c r="AI107" s="28"/>
      <c r="AJ107" s="28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</row>
    <row r="108" spans="1:54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1">
        <v>322</v>
      </c>
      <c r="Q108" s="16">
        <f t="shared" ca="1" si="40"/>
        <v>0.04</v>
      </c>
      <c r="R108" s="16">
        <f t="shared" ca="1" si="41"/>
        <v>0.04</v>
      </c>
      <c r="S108" s="16">
        <f t="shared" ca="1" si="42"/>
        <v>0.05</v>
      </c>
      <c r="T108" s="16">
        <f t="shared" ca="1" si="43"/>
        <v>0.01</v>
      </c>
      <c r="U108" s="16">
        <f t="shared" ca="1" si="44"/>
        <v>0.01</v>
      </c>
      <c r="V108" s="16">
        <f t="shared" ca="1" si="45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40">
        <f t="shared" ca="1" si="46"/>
        <v>4.3333333333333335E-2</v>
      </c>
      <c r="AF108" s="40">
        <f t="shared" ca="1" si="47"/>
        <v>0.01</v>
      </c>
      <c r="AG108" s="28"/>
      <c r="AH108" s="28"/>
      <c r="AI108" s="28"/>
      <c r="AJ108" s="28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</row>
    <row r="109" spans="1:54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1">
        <v>321</v>
      </c>
      <c r="Q109" s="16">
        <f t="shared" ca="1" si="40"/>
        <v>0.04</v>
      </c>
      <c r="R109" s="16">
        <f t="shared" ca="1" si="41"/>
        <v>0.04</v>
      </c>
      <c r="S109" s="16">
        <f t="shared" ca="1" si="42"/>
        <v>0.05</v>
      </c>
      <c r="T109" s="16">
        <f t="shared" ca="1" si="43"/>
        <v>0.01</v>
      </c>
      <c r="U109" s="16">
        <f t="shared" ca="1" si="44"/>
        <v>0.01</v>
      </c>
      <c r="V109" s="16">
        <f t="shared" ca="1" si="45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40">
        <f t="shared" ca="1" si="46"/>
        <v>4.3333333333333335E-2</v>
      </c>
      <c r="AF109" s="40">
        <f t="shared" ca="1" si="47"/>
        <v>0.01</v>
      </c>
      <c r="AG109" s="28"/>
      <c r="AH109" s="28"/>
      <c r="AI109" s="28"/>
      <c r="AJ109" s="28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</row>
    <row r="110" spans="1:54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1">
        <v>320</v>
      </c>
      <c r="Q110" s="16">
        <f t="shared" ca="1" si="40"/>
        <v>0.04</v>
      </c>
      <c r="R110" s="16">
        <f t="shared" ca="1" si="41"/>
        <v>0.04</v>
      </c>
      <c r="S110" s="16">
        <f t="shared" ca="1" si="42"/>
        <v>0.05</v>
      </c>
      <c r="T110" s="16">
        <f t="shared" ca="1" si="43"/>
        <v>0.01</v>
      </c>
      <c r="U110" s="16">
        <f t="shared" ca="1" si="44"/>
        <v>0.01</v>
      </c>
      <c r="V110" s="16">
        <f t="shared" ca="1" si="45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40">
        <f t="shared" ca="1" si="46"/>
        <v>4.3333333333333335E-2</v>
      </c>
      <c r="AF110" s="40">
        <f t="shared" ca="1" si="47"/>
        <v>0.01</v>
      </c>
      <c r="AG110" s="28"/>
      <c r="AH110" s="28"/>
      <c r="AI110" s="28"/>
      <c r="AJ110" s="28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</row>
    <row r="111" spans="1:54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1">
        <v>319</v>
      </c>
      <c r="Q111" s="16">
        <f t="shared" ca="1" si="40"/>
        <v>0.04</v>
      </c>
      <c r="R111" s="16">
        <f t="shared" ca="1" si="41"/>
        <v>0.04</v>
      </c>
      <c r="S111" s="16">
        <f t="shared" ca="1" si="42"/>
        <v>0.05</v>
      </c>
      <c r="T111" s="16">
        <f t="shared" ca="1" si="43"/>
        <v>0.01</v>
      </c>
      <c r="U111" s="16">
        <f t="shared" ca="1" si="44"/>
        <v>0.01</v>
      </c>
      <c r="V111" s="16">
        <f t="shared" ca="1" si="45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40">
        <f t="shared" ca="1" si="46"/>
        <v>4.3333333333333335E-2</v>
      </c>
      <c r="AF111" s="40">
        <f t="shared" ca="1" si="47"/>
        <v>0.01</v>
      </c>
      <c r="AG111" s="28"/>
      <c r="AH111" s="28"/>
      <c r="AI111" s="28"/>
      <c r="AJ111" s="28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</row>
    <row r="112" spans="1:54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1">
        <v>318</v>
      </c>
      <c r="Q112" s="16">
        <f t="shared" ca="1" si="40"/>
        <v>0.04</v>
      </c>
      <c r="R112" s="16">
        <f t="shared" ca="1" si="41"/>
        <v>0.04</v>
      </c>
      <c r="S112" s="16">
        <f t="shared" ca="1" si="42"/>
        <v>0.05</v>
      </c>
      <c r="T112" s="16">
        <f t="shared" ca="1" si="43"/>
        <v>0.01</v>
      </c>
      <c r="U112" s="16">
        <f t="shared" ca="1" si="44"/>
        <v>0.01</v>
      </c>
      <c r="V112" s="16">
        <f t="shared" ca="1" si="45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40">
        <f t="shared" ca="1" si="46"/>
        <v>4.3333333333333335E-2</v>
      </c>
      <c r="AF112" s="40">
        <f t="shared" ca="1" si="47"/>
        <v>0.01</v>
      </c>
      <c r="AG112" s="28"/>
      <c r="AH112" s="28"/>
      <c r="AI112" s="28"/>
      <c r="AJ112" s="28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</row>
    <row r="113" spans="1:54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1">
        <v>317</v>
      </c>
      <c r="Q113" s="16">
        <f t="shared" ca="1" si="40"/>
        <v>0.04</v>
      </c>
      <c r="R113" s="16">
        <f t="shared" ca="1" si="41"/>
        <v>0.04</v>
      </c>
      <c r="S113" s="16">
        <f t="shared" ca="1" si="42"/>
        <v>0.05</v>
      </c>
      <c r="T113" s="16">
        <f t="shared" ca="1" si="43"/>
        <v>0.01</v>
      </c>
      <c r="U113" s="16">
        <f t="shared" ca="1" si="44"/>
        <v>0.01</v>
      </c>
      <c r="V113" s="16">
        <f t="shared" ca="1" si="45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40">
        <f t="shared" ca="1" si="46"/>
        <v>4.3333333333333335E-2</v>
      </c>
      <c r="AF113" s="40">
        <f t="shared" ca="1" si="47"/>
        <v>0.01</v>
      </c>
      <c r="AG113" s="28"/>
      <c r="AH113" s="28"/>
      <c r="AI113" s="28"/>
      <c r="AJ113" s="28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</row>
    <row r="114" spans="1:54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1">
        <v>316</v>
      </c>
      <c r="Q114" s="16">
        <f t="shared" ca="1" si="40"/>
        <v>0.04</v>
      </c>
      <c r="R114" s="16">
        <f t="shared" ca="1" si="41"/>
        <v>0.04</v>
      </c>
      <c r="S114" s="16">
        <f t="shared" ca="1" si="42"/>
        <v>0.05</v>
      </c>
      <c r="T114" s="16">
        <f t="shared" ca="1" si="43"/>
        <v>0.01</v>
      </c>
      <c r="U114" s="16">
        <f t="shared" ca="1" si="44"/>
        <v>0.01</v>
      </c>
      <c r="V114" s="16">
        <f t="shared" ca="1" si="45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40">
        <f t="shared" ca="1" si="46"/>
        <v>4.3333333333333335E-2</v>
      </c>
      <c r="AF114" s="40">
        <f t="shared" ca="1" si="47"/>
        <v>0.01</v>
      </c>
      <c r="AG114" s="28"/>
      <c r="AH114" s="28"/>
      <c r="AI114" s="28"/>
      <c r="AJ114" s="28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</row>
    <row r="115" spans="1:54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1">
        <v>315</v>
      </c>
      <c r="Q115" s="16">
        <f t="shared" ca="1" si="40"/>
        <v>0.04</v>
      </c>
      <c r="R115" s="16">
        <f t="shared" ca="1" si="41"/>
        <v>0.04</v>
      </c>
      <c r="S115" s="16">
        <f t="shared" ca="1" si="42"/>
        <v>0.05</v>
      </c>
      <c r="T115" s="16">
        <f t="shared" ca="1" si="43"/>
        <v>0.01</v>
      </c>
      <c r="U115" s="16">
        <f t="shared" ca="1" si="44"/>
        <v>0.01</v>
      </c>
      <c r="V115" s="16">
        <f t="shared" ca="1" si="45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40">
        <f t="shared" ca="1" si="46"/>
        <v>4.3333333333333335E-2</v>
      </c>
      <c r="AF115" s="40">
        <f t="shared" ca="1" si="47"/>
        <v>0.01</v>
      </c>
      <c r="AG115" s="28"/>
      <c r="AH115" s="28"/>
      <c r="AI115" s="28"/>
      <c r="AJ115" s="28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</row>
    <row r="116" spans="1:54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1">
        <v>314</v>
      </c>
      <c r="Q116" s="16">
        <f t="shared" ca="1" si="40"/>
        <v>0.04</v>
      </c>
      <c r="R116" s="16">
        <f t="shared" ca="1" si="41"/>
        <v>0.04</v>
      </c>
      <c r="S116" s="16">
        <f t="shared" ca="1" si="42"/>
        <v>0.05</v>
      </c>
      <c r="T116" s="16">
        <f t="shared" ca="1" si="43"/>
        <v>0.01</v>
      </c>
      <c r="U116" s="16">
        <f t="shared" ca="1" si="44"/>
        <v>0.01</v>
      </c>
      <c r="V116" s="16">
        <f t="shared" ca="1" si="45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40">
        <f t="shared" ca="1" si="46"/>
        <v>4.3333333333333335E-2</v>
      </c>
      <c r="AF116" s="40">
        <f t="shared" ca="1" si="47"/>
        <v>0.01</v>
      </c>
      <c r="AG116" s="28"/>
      <c r="AH116" s="28"/>
      <c r="AI116" s="28"/>
      <c r="AJ116" s="28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</row>
    <row r="117" spans="1:54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1">
        <v>313</v>
      </c>
      <c r="Q117" s="16">
        <f t="shared" ca="1" si="40"/>
        <v>0.04</v>
      </c>
      <c r="R117" s="16">
        <f t="shared" ca="1" si="41"/>
        <v>0.04</v>
      </c>
      <c r="S117" s="16">
        <f t="shared" ca="1" si="42"/>
        <v>0.05</v>
      </c>
      <c r="T117" s="16">
        <f t="shared" ca="1" si="43"/>
        <v>0.01</v>
      </c>
      <c r="U117" s="16">
        <f t="shared" ca="1" si="44"/>
        <v>0.01</v>
      </c>
      <c r="V117" s="16">
        <f t="shared" ca="1" si="45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40">
        <f t="shared" ca="1" si="46"/>
        <v>4.3333333333333335E-2</v>
      </c>
      <c r="AF117" s="40">
        <f t="shared" ca="1" si="47"/>
        <v>0.01</v>
      </c>
      <c r="AG117" s="28"/>
      <c r="AH117" s="28"/>
      <c r="AI117" s="28"/>
      <c r="AJ117" s="28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</row>
    <row r="118" spans="1:54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1">
        <v>312</v>
      </c>
      <c r="Q118" s="16">
        <f t="shared" ca="1" si="40"/>
        <v>0.04</v>
      </c>
      <c r="R118" s="16">
        <f t="shared" ca="1" si="41"/>
        <v>0.04</v>
      </c>
      <c r="S118" s="16">
        <f t="shared" ca="1" si="42"/>
        <v>0.05</v>
      </c>
      <c r="T118" s="16">
        <f t="shared" ca="1" si="43"/>
        <v>0.01</v>
      </c>
      <c r="U118" s="16">
        <f t="shared" ca="1" si="44"/>
        <v>0.01</v>
      </c>
      <c r="V118" s="16">
        <f t="shared" ca="1" si="45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40">
        <f t="shared" ca="1" si="46"/>
        <v>4.3333333333333335E-2</v>
      </c>
      <c r="AF118" s="40">
        <f t="shared" ca="1" si="47"/>
        <v>0.01</v>
      </c>
      <c r="AG118" s="28"/>
      <c r="AH118" s="28"/>
      <c r="AI118" s="28"/>
      <c r="AJ118" s="28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</row>
    <row r="119" spans="1:54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1">
        <v>311</v>
      </c>
      <c r="Q119" s="16">
        <f t="shared" ca="1" si="40"/>
        <v>0.04</v>
      </c>
      <c r="R119" s="16">
        <f t="shared" ca="1" si="41"/>
        <v>0.04</v>
      </c>
      <c r="S119" s="16">
        <f t="shared" ca="1" si="42"/>
        <v>0.05</v>
      </c>
      <c r="T119" s="16">
        <f t="shared" ca="1" si="43"/>
        <v>0.01</v>
      </c>
      <c r="U119" s="16">
        <f t="shared" ca="1" si="44"/>
        <v>0.01</v>
      </c>
      <c r="V119" s="16">
        <f t="shared" ca="1" si="45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40">
        <f t="shared" ca="1" si="46"/>
        <v>4.3333333333333335E-2</v>
      </c>
      <c r="AF119" s="40">
        <f t="shared" ca="1" si="47"/>
        <v>0.01</v>
      </c>
      <c r="AG119" s="28"/>
      <c r="AH119" s="28"/>
      <c r="AI119" s="28"/>
      <c r="AJ119" s="28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</row>
    <row r="120" spans="1:54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1">
        <v>310</v>
      </c>
      <c r="Q120" s="16">
        <f t="shared" ca="1" si="40"/>
        <v>0.04</v>
      </c>
      <c r="R120" s="16">
        <f t="shared" ca="1" si="41"/>
        <v>0.04</v>
      </c>
      <c r="S120" s="16">
        <f t="shared" ca="1" si="42"/>
        <v>0.05</v>
      </c>
      <c r="T120" s="16">
        <f t="shared" ca="1" si="43"/>
        <v>0.01</v>
      </c>
      <c r="U120" s="16">
        <f t="shared" ca="1" si="44"/>
        <v>0.01</v>
      </c>
      <c r="V120" s="16">
        <f t="shared" ca="1" si="45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40">
        <f t="shared" ca="1" si="46"/>
        <v>4.3333333333333335E-2</v>
      </c>
      <c r="AF120" s="40">
        <f t="shared" ca="1" si="47"/>
        <v>0.01</v>
      </c>
      <c r="AG120" s="28"/>
      <c r="AH120" s="28"/>
      <c r="AI120" s="28"/>
      <c r="AJ120" s="28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</row>
    <row r="121" spans="1:54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1">
        <v>309</v>
      </c>
      <c r="Q121" s="16">
        <f t="shared" ca="1" si="40"/>
        <v>0.04</v>
      </c>
      <c r="R121" s="16">
        <f t="shared" ca="1" si="41"/>
        <v>0.04</v>
      </c>
      <c r="S121" s="16">
        <f t="shared" ca="1" si="42"/>
        <v>0.05</v>
      </c>
      <c r="T121" s="16">
        <f t="shared" ca="1" si="43"/>
        <v>0.01</v>
      </c>
      <c r="U121" s="16">
        <f t="shared" ca="1" si="44"/>
        <v>0.01</v>
      </c>
      <c r="V121" s="16">
        <f t="shared" ca="1" si="45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40">
        <f t="shared" ca="1" si="46"/>
        <v>4.3333333333333335E-2</v>
      </c>
      <c r="AF121" s="40">
        <f t="shared" ca="1" si="47"/>
        <v>0.01</v>
      </c>
      <c r="AG121" s="28"/>
      <c r="AH121" s="28"/>
      <c r="AI121" s="28"/>
      <c r="AJ121" s="28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</row>
    <row r="122" spans="1:54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1">
        <v>308</v>
      </c>
      <c r="Q122" s="16">
        <f t="shared" ca="1" si="40"/>
        <v>0.04</v>
      </c>
      <c r="R122" s="16">
        <f t="shared" ca="1" si="41"/>
        <v>0.04</v>
      </c>
      <c r="S122" s="16">
        <f t="shared" ca="1" si="42"/>
        <v>0.05</v>
      </c>
      <c r="T122" s="16">
        <f t="shared" ca="1" si="43"/>
        <v>0.01</v>
      </c>
      <c r="U122" s="16">
        <f t="shared" ca="1" si="44"/>
        <v>0.01</v>
      </c>
      <c r="V122" s="16">
        <f t="shared" ca="1" si="45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40">
        <f t="shared" ca="1" si="46"/>
        <v>4.3333333333333335E-2</v>
      </c>
      <c r="AF122" s="40">
        <f t="shared" ca="1" si="47"/>
        <v>0.01</v>
      </c>
      <c r="AG122" s="28"/>
      <c r="AH122" s="28"/>
      <c r="AI122" s="28"/>
      <c r="AJ122" s="28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</row>
    <row r="123" spans="1:54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1">
        <v>307</v>
      </c>
      <c r="Q123" s="16">
        <f t="shared" ca="1" si="40"/>
        <v>0.04</v>
      </c>
      <c r="R123" s="16">
        <f t="shared" ca="1" si="41"/>
        <v>0.04</v>
      </c>
      <c r="S123" s="16">
        <f t="shared" ca="1" si="42"/>
        <v>0.05</v>
      </c>
      <c r="T123" s="16">
        <f t="shared" ca="1" si="43"/>
        <v>0.01</v>
      </c>
      <c r="U123" s="16">
        <f t="shared" ca="1" si="44"/>
        <v>0.01</v>
      </c>
      <c r="V123" s="16">
        <f t="shared" ca="1" si="45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40">
        <f t="shared" ca="1" si="46"/>
        <v>4.3333333333333335E-2</v>
      </c>
      <c r="AF123" s="40">
        <f t="shared" ca="1" si="47"/>
        <v>0.01</v>
      </c>
      <c r="AG123" s="28"/>
      <c r="AH123" s="28"/>
      <c r="AI123" s="28"/>
      <c r="AJ123" s="28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</row>
    <row r="124" spans="1:54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1">
        <v>306</v>
      </c>
      <c r="Q124" s="16">
        <f t="shared" ca="1" si="40"/>
        <v>0.04</v>
      </c>
      <c r="R124" s="16">
        <f t="shared" ca="1" si="41"/>
        <v>0.04</v>
      </c>
      <c r="S124" s="16">
        <f t="shared" ca="1" si="42"/>
        <v>0.05</v>
      </c>
      <c r="T124" s="16">
        <f t="shared" ca="1" si="43"/>
        <v>0.01</v>
      </c>
      <c r="U124" s="16">
        <f t="shared" ca="1" si="44"/>
        <v>0.01</v>
      </c>
      <c r="V124" s="16">
        <f t="shared" ca="1" si="45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40">
        <f t="shared" ca="1" si="46"/>
        <v>4.3333333333333335E-2</v>
      </c>
      <c r="AF124" s="40">
        <f t="shared" ca="1" si="47"/>
        <v>0.01</v>
      </c>
      <c r="AG124" s="28"/>
      <c r="AH124" s="28"/>
      <c r="AI124" s="28"/>
      <c r="AJ124" s="28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</row>
    <row r="125" spans="1:54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1">
        <v>305</v>
      </c>
      <c r="Q125" s="16">
        <f t="shared" ca="1" si="40"/>
        <v>0.04</v>
      </c>
      <c r="R125" s="16">
        <f t="shared" ca="1" si="41"/>
        <v>0.04</v>
      </c>
      <c r="S125" s="16">
        <f t="shared" ca="1" si="42"/>
        <v>0.05</v>
      </c>
      <c r="T125" s="16">
        <f t="shared" ca="1" si="43"/>
        <v>0.01</v>
      </c>
      <c r="U125" s="16">
        <f t="shared" ca="1" si="44"/>
        <v>0.01</v>
      </c>
      <c r="V125" s="16">
        <f t="shared" ca="1" si="45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40">
        <f t="shared" ca="1" si="46"/>
        <v>4.3333333333333335E-2</v>
      </c>
      <c r="AF125" s="40">
        <f t="shared" ca="1" si="47"/>
        <v>0.01</v>
      </c>
      <c r="AG125" s="28"/>
      <c r="AH125" s="28"/>
      <c r="AI125" s="28"/>
      <c r="AJ125" s="28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</row>
    <row r="126" spans="1:54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1">
        <v>304</v>
      </c>
      <c r="Q126" s="16">
        <f t="shared" ref="Q126:Q150" ca="1" si="48">IF(INDIRECT("J"&amp;ROW(Q126)-27)/100&gt;0,INDIRECT("J"&amp;ROW(Q126)-27)/100,0)</f>
        <v>0.04</v>
      </c>
      <c r="R126" s="16">
        <f t="shared" ref="R126:R150" ca="1" si="49">IF(INDIRECT("K"&amp;ROW(R126)-27)/100&gt;0,INDIRECT("K"&amp;ROW(R126)-27)/100,0)</f>
        <v>0.04</v>
      </c>
      <c r="S126" s="16">
        <f t="shared" ref="S126:S150" ca="1" si="50">IF(INDIRECT("L"&amp;ROW(S126)-27)/100&gt;0,INDIRECT("L"&amp;ROW(S126)-27)/100,0)</f>
        <v>0.05</v>
      </c>
      <c r="T126" s="16">
        <f t="shared" ref="T126:T150" ca="1" si="51">IF(INDIRECT("M"&amp;ROW(T126)-27)/100&gt;0,INDIRECT("M"&amp;ROW(T126)-27)/100,0)</f>
        <v>0.01</v>
      </c>
      <c r="U126" s="16">
        <f t="shared" ref="U126:U150" ca="1" si="52">IF(INDIRECT("N"&amp;ROW(U126)-27)/100&gt;0,INDIRECT("N"&amp;ROW(U126)-27)/100,0)</f>
        <v>0.01</v>
      </c>
      <c r="V126" s="16">
        <f t="shared" ref="V126:V150" ca="1" si="53">IF(INDIRECT("O"&amp;ROW(V126)-27)/100&gt;0,INDIRECT("O"&amp;ROW(V126)-27)/100,0)</f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40">
        <f t="shared" ca="1" si="46"/>
        <v>4.3333333333333335E-2</v>
      </c>
      <c r="AF126" s="40">
        <f t="shared" ca="1" si="47"/>
        <v>0.01</v>
      </c>
      <c r="AG126" s="28"/>
      <c r="AH126" s="28"/>
      <c r="AI126" s="28"/>
      <c r="AJ126" s="28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</row>
    <row r="127" spans="1:54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1">
        <v>303</v>
      </c>
      <c r="Q127" s="16">
        <f t="shared" ca="1" si="48"/>
        <v>0.04</v>
      </c>
      <c r="R127" s="16">
        <f t="shared" ca="1" si="49"/>
        <v>0.04</v>
      </c>
      <c r="S127" s="16">
        <f t="shared" ca="1" si="50"/>
        <v>0.05</v>
      </c>
      <c r="T127" s="16">
        <f t="shared" ca="1" si="51"/>
        <v>0.01</v>
      </c>
      <c r="U127" s="16">
        <f t="shared" ca="1" si="52"/>
        <v>0.01</v>
      </c>
      <c r="V127" s="16">
        <f t="shared" ca="1" si="53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40">
        <f t="shared" ca="1" si="46"/>
        <v>4.3333333333333335E-2</v>
      </c>
      <c r="AF127" s="40">
        <f t="shared" ca="1" si="47"/>
        <v>0.01</v>
      </c>
      <c r="AG127" s="28"/>
      <c r="AH127" s="28"/>
      <c r="AI127" s="28"/>
      <c r="AJ127" s="28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</row>
    <row r="128" spans="1:54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1">
        <v>302</v>
      </c>
      <c r="Q128" s="16">
        <f t="shared" ca="1" si="48"/>
        <v>0.04</v>
      </c>
      <c r="R128" s="16">
        <f t="shared" ca="1" si="49"/>
        <v>0.04</v>
      </c>
      <c r="S128" s="16">
        <f t="shared" ca="1" si="50"/>
        <v>0.05</v>
      </c>
      <c r="T128" s="16">
        <f t="shared" ca="1" si="51"/>
        <v>0.01</v>
      </c>
      <c r="U128" s="16">
        <f t="shared" ca="1" si="52"/>
        <v>0.01</v>
      </c>
      <c r="V128" s="16">
        <f t="shared" ca="1" si="53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40">
        <f t="shared" ca="1" si="46"/>
        <v>4.3333333333333335E-2</v>
      </c>
      <c r="AF128" s="40">
        <f t="shared" ca="1" si="47"/>
        <v>0.01</v>
      </c>
      <c r="AG128" s="28"/>
      <c r="AH128" s="28"/>
      <c r="AI128" s="28"/>
      <c r="AJ128" s="28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</row>
    <row r="129" spans="1:54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1">
        <v>301</v>
      </c>
      <c r="Q129" s="16">
        <f t="shared" ca="1" si="48"/>
        <v>0.04</v>
      </c>
      <c r="R129" s="16">
        <f t="shared" ca="1" si="49"/>
        <v>0.04</v>
      </c>
      <c r="S129" s="16">
        <f t="shared" ca="1" si="50"/>
        <v>0.05</v>
      </c>
      <c r="T129" s="16">
        <f t="shared" ca="1" si="51"/>
        <v>0.01</v>
      </c>
      <c r="U129" s="16">
        <f t="shared" ca="1" si="52"/>
        <v>0.01</v>
      </c>
      <c r="V129" s="16">
        <f t="shared" ca="1" si="53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40">
        <f t="shared" ca="1" si="46"/>
        <v>4.3333333333333335E-2</v>
      </c>
      <c r="AF129" s="40">
        <f t="shared" ca="1" si="47"/>
        <v>0.01</v>
      </c>
      <c r="AG129" s="28"/>
      <c r="AH129" s="28"/>
      <c r="AI129" s="28"/>
      <c r="AJ129" s="28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</row>
    <row r="130" spans="1:54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1">
        <v>300</v>
      </c>
      <c r="Q130" s="16">
        <f t="shared" ca="1" si="48"/>
        <v>0.04</v>
      </c>
      <c r="R130" s="16">
        <f t="shared" ca="1" si="49"/>
        <v>0.04</v>
      </c>
      <c r="S130" s="16">
        <f t="shared" ca="1" si="50"/>
        <v>0.05</v>
      </c>
      <c r="T130" s="16">
        <f t="shared" ca="1" si="51"/>
        <v>0.01</v>
      </c>
      <c r="U130" s="16">
        <f t="shared" ca="1" si="52"/>
        <v>0.01</v>
      </c>
      <c r="V130" s="16">
        <f t="shared" ca="1" si="53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40">
        <f t="shared" ca="1" si="46"/>
        <v>4.3333333333333335E-2</v>
      </c>
      <c r="AF130" s="40">
        <f t="shared" ca="1" si="47"/>
        <v>0.01</v>
      </c>
      <c r="AG130" s="28"/>
      <c r="AH130" s="28"/>
      <c r="AI130" s="28"/>
      <c r="AJ130" s="28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</row>
    <row r="131" spans="1:54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1">
        <v>299</v>
      </c>
      <c r="Q131" s="16">
        <f t="shared" ca="1" si="48"/>
        <v>0.04</v>
      </c>
      <c r="R131" s="16">
        <f t="shared" ca="1" si="49"/>
        <v>0.04</v>
      </c>
      <c r="S131" s="16">
        <f t="shared" ca="1" si="50"/>
        <v>0.05</v>
      </c>
      <c r="T131" s="16">
        <f t="shared" ca="1" si="51"/>
        <v>0.01</v>
      </c>
      <c r="U131" s="16">
        <f t="shared" ca="1" si="52"/>
        <v>0.01</v>
      </c>
      <c r="V131" s="16">
        <f t="shared" ca="1" si="53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40">
        <f t="shared" ca="1" si="46"/>
        <v>4.3333333333333335E-2</v>
      </c>
      <c r="AF131" s="40">
        <f t="shared" ca="1" si="47"/>
        <v>0.01</v>
      </c>
      <c r="AG131" s="28"/>
      <c r="AH131" s="28"/>
      <c r="AI131" s="28"/>
      <c r="AJ131" s="28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</row>
    <row r="132" spans="1:54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1">
        <v>298</v>
      </c>
      <c r="Q132" s="16">
        <f t="shared" ca="1" si="48"/>
        <v>0.04</v>
      </c>
      <c r="R132" s="16">
        <f t="shared" ca="1" si="49"/>
        <v>0.04</v>
      </c>
      <c r="S132" s="16">
        <f t="shared" ca="1" si="50"/>
        <v>0.05</v>
      </c>
      <c r="T132" s="16">
        <f t="shared" ca="1" si="51"/>
        <v>0.01</v>
      </c>
      <c r="U132" s="16">
        <f t="shared" ca="1" si="52"/>
        <v>0.01</v>
      </c>
      <c r="V132" s="16">
        <f t="shared" ca="1" si="53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40">
        <f t="shared" ca="1" si="46"/>
        <v>4.3333333333333335E-2</v>
      </c>
      <c r="AF132" s="40">
        <f t="shared" ca="1" si="47"/>
        <v>0.01</v>
      </c>
      <c r="AG132" s="28"/>
      <c r="AH132" s="28"/>
      <c r="AI132" s="28"/>
      <c r="AJ132" s="28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</row>
    <row r="133" spans="1:54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1">
        <v>297</v>
      </c>
      <c r="Q133" s="16">
        <f t="shared" ca="1" si="48"/>
        <v>0.04</v>
      </c>
      <c r="R133" s="16">
        <f t="shared" ca="1" si="49"/>
        <v>0.04</v>
      </c>
      <c r="S133" s="16">
        <f t="shared" ca="1" si="50"/>
        <v>0.05</v>
      </c>
      <c r="T133" s="16">
        <f t="shared" ca="1" si="51"/>
        <v>0.01</v>
      </c>
      <c r="U133" s="16">
        <f t="shared" ca="1" si="52"/>
        <v>0.01</v>
      </c>
      <c r="V133" s="16">
        <f t="shared" ca="1" si="53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40">
        <f t="shared" ca="1" si="46"/>
        <v>4.3333333333333335E-2</v>
      </c>
      <c r="AF133" s="40">
        <f t="shared" ca="1" si="47"/>
        <v>0.01</v>
      </c>
      <c r="AG133" s="28"/>
      <c r="AH133" s="28"/>
      <c r="AI133" s="28"/>
      <c r="AJ133" s="28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</row>
    <row r="134" spans="1:54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v>296</v>
      </c>
      <c r="Q134" s="16">
        <f t="shared" ca="1" si="48"/>
        <v>0.04</v>
      </c>
      <c r="R134" s="16">
        <f t="shared" ca="1" si="49"/>
        <v>0.04</v>
      </c>
      <c r="S134" s="16">
        <f t="shared" ca="1" si="50"/>
        <v>0.05</v>
      </c>
      <c r="T134" s="16">
        <f t="shared" ca="1" si="51"/>
        <v>0.01</v>
      </c>
      <c r="U134" s="16">
        <f t="shared" ca="1" si="52"/>
        <v>0.01</v>
      </c>
      <c r="V134" s="16">
        <f t="shared" ca="1" si="53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40">
        <f t="shared" ca="1" si="46"/>
        <v>4.3333333333333335E-2</v>
      </c>
      <c r="AF134" s="40">
        <f t="shared" ca="1" si="47"/>
        <v>0.01</v>
      </c>
      <c r="AG134" s="28"/>
      <c r="AH134" s="28"/>
      <c r="AI134" s="28"/>
      <c r="AJ134" s="28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</row>
    <row r="135" spans="1:54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1">
        <v>295</v>
      </c>
      <c r="Q135" s="16">
        <f t="shared" ca="1" si="48"/>
        <v>0.04</v>
      </c>
      <c r="R135" s="16">
        <f t="shared" ca="1" si="49"/>
        <v>0.04</v>
      </c>
      <c r="S135" s="16">
        <f t="shared" ca="1" si="50"/>
        <v>0.05</v>
      </c>
      <c r="T135" s="16">
        <f t="shared" ca="1" si="51"/>
        <v>0.01</v>
      </c>
      <c r="U135" s="16">
        <f t="shared" ca="1" si="52"/>
        <v>0.01</v>
      </c>
      <c r="V135" s="16">
        <f t="shared" ca="1" si="53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40">
        <f t="shared" ca="1" si="46"/>
        <v>4.3333333333333335E-2</v>
      </c>
      <c r="AF135" s="40">
        <f t="shared" ca="1" si="47"/>
        <v>2.4000000000000004E-2</v>
      </c>
      <c r="AG135" s="28"/>
      <c r="AH135" s="28"/>
      <c r="AI135" s="28"/>
      <c r="AJ135" s="28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</row>
    <row r="136" spans="1:54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1">
        <v>294</v>
      </c>
      <c r="Q136" s="16">
        <f t="shared" ca="1" si="48"/>
        <v>0.04</v>
      </c>
      <c r="R136" s="16">
        <f t="shared" ca="1" si="49"/>
        <v>0.04</v>
      </c>
      <c r="S136" s="16">
        <f t="shared" ca="1" si="50"/>
        <v>0.05</v>
      </c>
      <c r="T136" s="16">
        <f t="shared" ca="1" si="51"/>
        <v>0.01</v>
      </c>
      <c r="U136" s="16">
        <f t="shared" ca="1" si="52"/>
        <v>0.01</v>
      </c>
      <c r="V136" s="16">
        <f t="shared" ca="1" si="53"/>
        <v>0.01</v>
      </c>
      <c r="W136" s="22"/>
      <c r="X136" s="22"/>
      <c r="Y136" s="22"/>
      <c r="Z136" s="22"/>
      <c r="AA136" s="22"/>
      <c r="AB136" s="22"/>
      <c r="AC136" s="22"/>
      <c r="AD136" s="22" t="s">
        <v>40</v>
      </c>
      <c r="AE136" s="30">
        <f ca="1">SUM(AE100:AE135)</f>
        <v>1.5600000000000014</v>
      </c>
      <c r="AF136" s="30">
        <f ca="1">SUM(AF100:AF135)</f>
        <v>0.37400000000000017</v>
      </c>
      <c r="AG136" s="30"/>
      <c r="AH136" s="30"/>
      <c r="AI136" s="30"/>
      <c r="AJ136" s="30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</row>
    <row r="137" spans="1:54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1">
        <v>293</v>
      </c>
      <c r="Q137" s="16">
        <f t="shared" ca="1" si="48"/>
        <v>0.04</v>
      </c>
      <c r="R137" s="16">
        <f t="shared" ca="1" si="49"/>
        <v>0.04</v>
      </c>
      <c r="S137" s="16">
        <f t="shared" ca="1" si="50"/>
        <v>0.05</v>
      </c>
      <c r="T137" s="16">
        <f t="shared" ca="1" si="51"/>
        <v>0.01</v>
      </c>
      <c r="U137" s="16">
        <f t="shared" ca="1" si="52"/>
        <v>0.01</v>
      </c>
      <c r="V137" s="16">
        <f t="shared" ca="1" si="53"/>
        <v>0.01</v>
      </c>
      <c r="W137" s="22"/>
      <c r="X137" s="22"/>
      <c r="Y137" s="22"/>
      <c r="Z137" s="22"/>
      <c r="AA137" s="22"/>
      <c r="AB137" s="22"/>
      <c r="AC137" s="22"/>
      <c r="AD137" s="22" t="s">
        <v>41</v>
      </c>
      <c r="AE137" s="32">
        <v>36</v>
      </c>
      <c r="AF137" s="32">
        <v>36</v>
      </c>
      <c r="AG137" s="32"/>
      <c r="AH137" s="32"/>
      <c r="AI137" s="32"/>
      <c r="AJ137" s="3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</row>
    <row r="138" spans="1:54" ht="18.75" x14ac:dyDescent="0.3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1">
        <v>292</v>
      </c>
      <c r="Q138" s="16">
        <f t="shared" ca="1" si="48"/>
        <v>0.04</v>
      </c>
      <c r="R138" s="16">
        <f t="shared" ca="1" si="49"/>
        <v>0.04</v>
      </c>
      <c r="S138" s="16">
        <f t="shared" ca="1" si="50"/>
        <v>0.05</v>
      </c>
      <c r="T138" s="16">
        <f t="shared" ca="1" si="51"/>
        <v>0.01</v>
      </c>
      <c r="U138" s="16">
        <f t="shared" ca="1" si="52"/>
        <v>0.01</v>
      </c>
      <c r="V138" s="16">
        <f t="shared" ca="1" si="53"/>
        <v>0.01</v>
      </c>
      <c r="W138" s="22"/>
      <c r="X138" s="22"/>
      <c r="Y138" s="22"/>
      <c r="Z138" s="22"/>
      <c r="AA138" s="22"/>
      <c r="AB138" s="22"/>
      <c r="AC138" s="22"/>
      <c r="AD138" s="13" t="s">
        <v>45</v>
      </c>
      <c r="AE138" s="31">
        <f ca="1">AE136/AE137</f>
        <v>4.333333333333337E-2</v>
      </c>
      <c r="AF138" s="31">
        <f ca="1">AF136/AF137</f>
        <v>1.0388888888888894E-2</v>
      </c>
      <c r="AG138" s="31"/>
      <c r="AH138" s="31"/>
      <c r="AI138" s="31"/>
      <c r="AJ138" s="31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</row>
    <row r="139" spans="1:54" ht="15" x14ac:dyDescent="0.2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1">
        <v>291</v>
      </c>
      <c r="Q139" s="16">
        <f t="shared" ca="1" si="48"/>
        <v>0.04</v>
      </c>
      <c r="R139" s="16">
        <f t="shared" ca="1" si="49"/>
        <v>0.04</v>
      </c>
      <c r="S139" s="16">
        <f t="shared" ca="1" si="50"/>
        <v>0.05</v>
      </c>
      <c r="T139" s="16">
        <f t="shared" ca="1" si="51"/>
        <v>0.01</v>
      </c>
      <c r="U139" s="16">
        <f t="shared" ca="1" si="52"/>
        <v>0.01</v>
      </c>
      <c r="V139" s="16">
        <f t="shared" ca="1" si="53"/>
        <v>0.01</v>
      </c>
      <c r="W139" s="22"/>
      <c r="X139" s="22"/>
      <c r="Y139" s="22"/>
      <c r="Z139" s="22"/>
      <c r="AA139" s="22"/>
      <c r="AB139" s="22"/>
      <c r="AC139" s="22"/>
      <c r="AD139" s="22"/>
      <c r="AE139" s="27"/>
      <c r="AF139" s="27"/>
      <c r="AG139" s="27"/>
      <c r="AH139" s="27"/>
      <c r="AI139" s="27"/>
      <c r="AJ139" s="27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</row>
    <row r="140" spans="1:54" ht="15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1">
        <v>290</v>
      </c>
      <c r="Q140" s="16">
        <f t="shared" ca="1" si="48"/>
        <v>0.04</v>
      </c>
      <c r="R140" s="16">
        <f t="shared" ca="1" si="49"/>
        <v>0.04</v>
      </c>
      <c r="S140" s="16">
        <f t="shared" ca="1" si="50"/>
        <v>0.05</v>
      </c>
      <c r="T140" s="16">
        <f t="shared" ca="1" si="51"/>
        <v>0.01</v>
      </c>
      <c r="U140" s="16">
        <f t="shared" ca="1" si="52"/>
        <v>0.01</v>
      </c>
      <c r="V140" s="16">
        <f t="shared" ca="1" si="53"/>
        <v>0.01</v>
      </c>
      <c r="W140" s="22"/>
      <c r="X140" s="22"/>
      <c r="Y140" s="22"/>
      <c r="Z140" s="22"/>
      <c r="AA140" s="22"/>
      <c r="AB140" s="22"/>
      <c r="AC140" s="22"/>
      <c r="AD140" s="22"/>
      <c r="AE140" s="27"/>
      <c r="AF140" s="27"/>
      <c r="AG140" s="27"/>
      <c r="AH140" s="27"/>
      <c r="AI140" s="27"/>
      <c r="AJ140" s="27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</row>
    <row r="141" spans="1:54" ht="15" x14ac:dyDescent="0.2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1">
        <v>289</v>
      </c>
      <c r="Q141" s="16">
        <f t="shared" ca="1" si="48"/>
        <v>0.04</v>
      </c>
      <c r="R141" s="16">
        <f t="shared" ca="1" si="49"/>
        <v>0.04</v>
      </c>
      <c r="S141" s="16">
        <f t="shared" ca="1" si="50"/>
        <v>0.05</v>
      </c>
      <c r="T141" s="16">
        <f t="shared" ca="1" si="51"/>
        <v>0.01</v>
      </c>
      <c r="U141" s="16">
        <f t="shared" ca="1" si="52"/>
        <v>0.01</v>
      </c>
      <c r="V141" s="16">
        <f t="shared" ca="1" si="53"/>
        <v>0.01</v>
      </c>
      <c r="W141" s="22"/>
      <c r="X141" s="22"/>
      <c r="Y141" s="22"/>
      <c r="Z141" s="22"/>
      <c r="AA141" s="22"/>
      <c r="AB141" s="22"/>
      <c r="AC141" s="22"/>
      <c r="AD141" s="22"/>
      <c r="AE141" s="27"/>
      <c r="AF141" s="27"/>
      <c r="AG141" s="27"/>
      <c r="AH141" s="27"/>
      <c r="AI141" s="27"/>
      <c r="AJ141" s="27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</row>
    <row r="142" spans="1:54" ht="15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1">
        <v>288</v>
      </c>
      <c r="Q142" s="16">
        <f t="shared" ca="1" si="48"/>
        <v>0.04</v>
      </c>
      <c r="R142" s="16">
        <f t="shared" ca="1" si="49"/>
        <v>0.04</v>
      </c>
      <c r="S142" s="16">
        <f t="shared" ca="1" si="50"/>
        <v>0.05</v>
      </c>
      <c r="T142" s="16">
        <f t="shared" ca="1" si="51"/>
        <v>0.01</v>
      </c>
      <c r="U142" s="16">
        <f t="shared" ca="1" si="52"/>
        <v>0.01</v>
      </c>
      <c r="V142" s="16">
        <f t="shared" ca="1" si="53"/>
        <v>0.01</v>
      </c>
      <c r="W142" s="22"/>
      <c r="X142" s="22"/>
      <c r="Y142" s="22"/>
      <c r="Z142" s="22"/>
      <c r="AA142" s="22"/>
      <c r="AB142" s="22"/>
      <c r="AC142" s="22"/>
      <c r="AD142" s="22"/>
      <c r="AE142" s="27"/>
      <c r="AF142" s="27"/>
      <c r="AG142" s="27"/>
      <c r="AH142" s="27"/>
      <c r="AI142" s="27"/>
      <c r="AJ142" s="27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</row>
    <row r="143" spans="1:54" ht="15" x14ac:dyDescent="0.2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1">
        <v>287</v>
      </c>
      <c r="Q143" s="16">
        <f t="shared" ca="1" si="48"/>
        <v>0.04</v>
      </c>
      <c r="R143" s="16">
        <f t="shared" ca="1" si="49"/>
        <v>0.04</v>
      </c>
      <c r="S143" s="16">
        <f t="shared" ca="1" si="50"/>
        <v>0.05</v>
      </c>
      <c r="T143" s="16">
        <f t="shared" ca="1" si="51"/>
        <v>0.01</v>
      </c>
      <c r="U143" s="16">
        <f t="shared" ca="1" si="52"/>
        <v>0.01</v>
      </c>
      <c r="V143" s="16">
        <f t="shared" ca="1" si="53"/>
        <v>0.01</v>
      </c>
      <c r="W143" s="22"/>
      <c r="X143" s="22"/>
      <c r="Y143" s="22"/>
      <c r="Z143" s="22"/>
      <c r="AA143" s="22"/>
      <c r="AB143" s="22"/>
      <c r="AC143" s="22"/>
      <c r="AD143" s="22"/>
      <c r="AE143" s="27"/>
      <c r="AF143" s="27"/>
      <c r="AG143" s="27"/>
      <c r="AH143" s="27"/>
      <c r="AI143" s="27"/>
      <c r="AJ143" s="27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</row>
    <row r="144" spans="1:54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1">
        <v>286</v>
      </c>
      <c r="Q144" s="16">
        <f t="shared" ca="1" si="48"/>
        <v>0.04</v>
      </c>
      <c r="R144" s="16">
        <f t="shared" ca="1" si="49"/>
        <v>0.04</v>
      </c>
      <c r="S144" s="16">
        <f t="shared" ca="1" si="50"/>
        <v>0.05</v>
      </c>
      <c r="T144" s="16">
        <f t="shared" ca="1" si="51"/>
        <v>0.01</v>
      </c>
      <c r="U144" s="16">
        <f t="shared" ca="1" si="52"/>
        <v>0.01</v>
      </c>
      <c r="V144" s="16">
        <f t="shared" ca="1" si="53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</row>
    <row r="145" spans="1:54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1">
        <v>285</v>
      </c>
      <c r="Q145" s="16">
        <f t="shared" ca="1" si="48"/>
        <v>0.04</v>
      </c>
      <c r="R145" s="16">
        <f t="shared" ca="1" si="49"/>
        <v>0.04</v>
      </c>
      <c r="S145" s="16">
        <f t="shared" ca="1" si="50"/>
        <v>0.05</v>
      </c>
      <c r="T145" s="16">
        <f t="shared" ca="1" si="51"/>
        <v>0.01</v>
      </c>
      <c r="U145" s="16">
        <f t="shared" ca="1" si="52"/>
        <v>0.01</v>
      </c>
      <c r="V145" s="16">
        <f t="shared" ca="1" si="53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</row>
    <row r="146" spans="1:54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1">
        <v>284</v>
      </c>
      <c r="Q146" s="16">
        <f t="shared" ca="1" si="48"/>
        <v>0.04</v>
      </c>
      <c r="R146" s="16">
        <f t="shared" ca="1" si="49"/>
        <v>0.04</v>
      </c>
      <c r="S146" s="16">
        <f t="shared" ca="1" si="50"/>
        <v>0.05</v>
      </c>
      <c r="T146" s="16">
        <f t="shared" ca="1" si="51"/>
        <v>0.01</v>
      </c>
      <c r="U146" s="16">
        <f t="shared" ca="1" si="52"/>
        <v>0.01</v>
      </c>
      <c r="V146" s="16">
        <f t="shared" ca="1" si="53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</row>
    <row r="147" spans="1:54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1">
        <v>283</v>
      </c>
      <c r="Q147" s="16">
        <f t="shared" ca="1" si="48"/>
        <v>0.04</v>
      </c>
      <c r="R147" s="16">
        <f t="shared" ca="1" si="49"/>
        <v>0.04</v>
      </c>
      <c r="S147" s="16">
        <f t="shared" ca="1" si="50"/>
        <v>0.05</v>
      </c>
      <c r="T147" s="16">
        <f t="shared" ca="1" si="51"/>
        <v>0.01</v>
      </c>
      <c r="U147" s="16">
        <f t="shared" ca="1" si="52"/>
        <v>0.01</v>
      </c>
      <c r="V147" s="16">
        <f t="shared" ca="1" si="53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</row>
    <row r="148" spans="1:54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1">
        <v>282</v>
      </c>
      <c r="Q148" s="16">
        <f t="shared" ca="1" si="48"/>
        <v>0.04</v>
      </c>
      <c r="R148" s="16">
        <f t="shared" ca="1" si="49"/>
        <v>0.04</v>
      </c>
      <c r="S148" s="16">
        <f t="shared" ca="1" si="50"/>
        <v>0.05</v>
      </c>
      <c r="T148" s="16">
        <f t="shared" ca="1" si="51"/>
        <v>0.01</v>
      </c>
      <c r="U148" s="16">
        <f t="shared" ca="1" si="52"/>
        <v>0.01</v>
      </c>
      <c r="V148" s="16">
        <f t="shared" ca="1" si="53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</row>
    <row r="149" spans="1:54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1">
        <v>281</v>
      </c>
      <c r="Q149" s="16">
        <f t="shared" ca="1" si="48"/>
        <v>0.04</v>
      </c>
      <c r="R149" s="16">
        <f t="shared" ca="1" si="49"/>
        <v>0.04</v>
      </c>
      <c r="S149" s="16">
        <f t="shared" ca="1" si="50"/>
        <v>0.05</v>
      </c>
      <c r="T149" s="16">
        <f t="shared" ca="1" si="51"/>
        <v>0.01</v>
      </c>
      <c r="U149" s="16">
        <f t="shared" ca="1" si="52"/>
        <v>0.01</v>
      </c>
      <c r="V149" s="16">
        <f t="shared" ca="1" si="53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</row>
    <row r="150" spans="1:54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1">
        <v>280</v>
      </c>
      <c r="Q150" s="16">
        <f t="shared" ca="1" si="48"/>
        <v>0.04</v>
      </c>
      <c r="R150" s="16">
        <f t="shared" ca="1" si="49"/>
        <v>0.04</v>
      </c>
      <c r="S150" s="16">
        <f t="shared" ca="1" si="50"/>
        <v>0.05</v>
      </c>
      <c r="T150" s="16">
        <f t="shared" ca="1" si="51"/>
        <v>2.3E-2</v>
      </c>
      <c r="U150" s="16">
        <f t="shared" ca="1" si="52"/>
        <v>2.4E-2</v>
      </c>
      <c r="V150" s="16">
        <f t="shared" ca="1" si="53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</row>
  </sheetData>
  <sheetProtection sheet="1" objects="1" scenarios="1"/>
  <protectedRanges>
    <protectedRange sqref="J3:O123" name="区域3_1"/>
  </protectedRanges>
  <dataConsolidate/>
  <phoneticPr fontId="1" type="noConversion"/>
  <pageMargins left="0.7" right="0.7" top="0.75" bottom="0.75" header="0.3" footer="0.3"/>
  <pageSetup paperSize="9" orientation="portrait" r:id="rId1"/>
  <ignoredErrors>
    <ignoredError sqref="R30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F54C-CEB2-4689-BA65-5CAA725B213A}">
  <sheetPr codeName="Sheet4"/>
  <dimension ref="A1:AN150"/>
  <sheetViews>
    <sheetView topLeftCell="H1" workbookViewId="0">
      <selection activeCell="W1" sqref="W1:AO1048576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19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22</v>
      </c>
      <c r="Y2" s="6"/>
      <c r="Z2" s="6"/>
      <c r="AA2" s="6"/>
      <c r="AB2" s="24"/>
      <c r="AC2" s="24"/>
      <c r="AD2" s="6" t="s">
        <v>21</v>
      </c>
      <c r="AE2" s="13" t="s">
        <v>37</v>
      </c>
      <c r="AF2" s="7" t="s">
        <v>38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54</v>
      </c>
      <c r="Y3" s="9" t="s">
        <v>23</v>
      </c>
      <c r="Z3" s="12" t="s">
        <v>33</v>
      </c>
      <c r="AA3" s="22"/>
      <c r="AB3" s="6"/>
      <c r="AC3" s="6"/>
      <c r="AD3" s="22"/>
      <c r="AE3" s="22"/>
      <c r="AF3" s="8" t="s">
        <v>39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24</v>
      </c>
      <c r="AA4" s="22"/>
      <c r="AB4" s="6"/>
      <c r="AC4" s="6"/>
      <c r="AD4" s="14" t="s">
        <v>43</v>
      </c>
      <c r="AE4" s="6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23" t="s">
        <v>28</v>
      </c>
      <c r="AB5" s="23" t="s">
        <v>30</v>
      </c>
      <c r="AC5" s="6"/>
      <c r="AD5" s="6" t="s">
        <v>25</v>
      </c>
      <c r="AE5" s="6" t="s">
        <v>26</v>
      </c>
      <c r="AF5" s="6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23" t="s">
        <v>35</v>
      </c>
      <c r="AB6" s="23" t="s">
        <v>36</v>
      </c>
      <c r="AC6" s="6"/>
      <c r="AD6" s="6" t="s">
        <v>1</v>
      </c>
      <c r="AE6" s="6" t="s">
        <v>27</v>
      </c>
      <c r="AF6" s="6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7">
        <v>1.22E-4</v>
      </c>
      <c r="AB7" s="27">
        <v>1.01E-4</v>
      </c>
      <c r="AC7" s="22"/>
      <c r="AD7" s="6">
        <v>400</v>
      </c>
      <c r="AE7" s="38">
        <f ca="1">AVERAGE(Q30:S30)</f>
        <v>3.6666666666666667E-2</v>
      </c>
      <c r="AF7" s="39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0.05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7">
        <v>1.2999999999999999E-4</v>
      </c>
      <c r="AB8" s="27">
        <v>8.0099999999999995E-5</v>
      </c>
      <c r="AC8" s="22"/>
      <c r="AD8" s="6">
        <v>399</v>
      </c>
      <c r="AE8" s="38">
        <f t="shared" ref="AE8:AE71" ca="1" si="14">AVERAGE(Q31:S31)</f>
        <v>4.3333333333333335E-2</v>
      </c>
      <c r="AF8" s="39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0.05</v>
      </c>
      <c r="S9" s="16">
        <f t="shared" ca="1" si="8"/>
        <v>0.05</v>
      </c>
      <c r="T9" s="16">
        <f t="shared" ca="1" si="9"/>
        <v>0.01</v>
      </c>
      <c r="U9" s="16">
        <f t="shared" ca="1" si="10"/>
        <v>0.1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7">
        <v>1.3999999999999999E-4</v>
      </c>
      <c r="AB9" s="27">
        <v>6.8100000000000002E-5</v>
      </c>
      <c r="AC9" s="22"/>
      <c r="AD9" s="6">
        <v>398</v>
      </c>
      <c r="AE9" s="38">
        <f t="shared" ca="1" si="14"/>
        <v>5.000000000000001E-2</v>
      </c>
      <c r="AF9" s="39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0.05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7">
        <v>1.4999999999999999E-4</v>
      </c>
      <c r="AB10" s="27">
        <v>6.5500000000000006E-5</v>
      </c>
      <c r="AC10" s="22"/>
      <c r="AD10" s="6">
        <v>397</v>
      </c>
      <c r="AE10" s="38">
        <f t="shared" ca="1" si="14"/>
        <v>4.3333333333333335E-2</v>
      </c>
      <c r="AF10" s="39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0.05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0.1</v>
      </c>
      <c r="V11" s="16">
        <f t="shared" ca="1" si="11"/>
        <v>0.11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7">
        <v>1.6000000000000001E-4</v>
      </c>
      <c r="AB11" s="27">
        <v>7.1600000000000006E-5</v>
      </c>
      <c r="AC11" s="22"/>
      <c r="AD11" s="6">
        <v>396</v>
      </c>
      <c r="AE11" s="38">
        <f t="shared" ca="1" si="14"/>
        <v>4.3333333333333335E-2</v>
      </c>
      <c r="AF11" s="39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0.05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0.1</v>
      </c>
      <c r="V12" s="16">
        <f t="shared" ca="1" si="11"/>
        <v>0.11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7">
        <v>1.7200000000000001E-4</v>
      </c>
      <c r="AB12" s="27">
        <v>7.5699999999999997E-5</v>
      </c>
      <c r="AC12" s="22"/>
      <c r="AD12" s="6">
        <v>395</v>
      </c>
      <c r="AE12" s="38">
        <f t="shared" ca="1" si="14"/>
        <v>4.3333333333333335E-2</v>
      </c>
      <c r="AF12" s="39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7.0000000000000007E-2</v>
      </c>
      <c r="R13" s="16">
        <f t="shared" ca="1" si="7"/>
        <v>0.05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0.11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7">
        <v>1.84E-4</v>
      </c>
      <c r="AB13" s="27">
        <v>6.7199999999999994E-5</v>
      </c>
      <c r="AC13" s="22"/>
      <c r="AD13" s="6">
        <v>394</v>
      </c>
      <c r="AE13" s="38">
        <f t="shared" ca="1" si="14"/>
        <v>4.3333333333333335E-2</v>
      </c>
      <c r="AF13" s="39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7.0000000000000007E-2</v>
      </c>
      <c r="R14" s="16">
        <f t="shared" ca="1" si="7"/>
        <v>0.05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0.11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7">
        <v>1.9699999999999999E-4</v>
      </c>
      <c r="AB14" s="27">
        <v>6.2600000000000004E-5</v>
      </c>
      <c r="AC14" s="22"/>
      <c r="AD14" s="6">
        <v>393</v>
      </c>
      <c r="AE14" s="38">
        <f t="shared" ca="1" si="14"/>
        <v>4.3333333333333335E-2</v>
      </c>
      <c r="AF14" s="39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7.0000000000000007E-2</v>
      </c>
      <c r="R15" s="16">
        <f t="shared" ca="1" si="7"/>
        <v>0.05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0.11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7">
        <v>2.1100000000000001E-4</v>
      </c>
      <c r="AB15" s="27">
        <v>5.8499999999999999E-5</v>
      </c>
      <c r="AC15" s="22"/>
      <c r="AD15" s="6">
        <v>392</v>
      </c>
      <c r="AE15" s="38">
        <f t="shared" ca="1" si="14"/>
        <v>4.3333333333333335E-2</v>
      </c>
      <c r="AF15" s="39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0.05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7.0000000000000007E-2</v>
      </c>
      <c r="R16" s="16">
        <f t="shared" ca="1" si="7"/>
        <v>0.05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7">
        <v>2.2599999999999999E-4</v>
      </c>
      <c r="AB16" s="27">
        <v>6.4200000000000002E-5</v>
      </c>
      <c r="AC16" s="22"/>
      <c r="AD16" s="6">
        <v>391</v>
      </c>
      <c r="AE16" s="38">
        <f t="shared" ca="1" si="14"/>
        <v>4.3333333333333335E-2</v>
      </c>
      <c r="AF16" s="39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0.05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7.0000000000000007E-2</v>
      </c>
      <c r="R17" s="16">
        <f t="shared" ca="1" si="7"/>
        <v>0.05</v>
      </c>
      <c r="S17" s="16">
        <f t="shared" ca="1" si="8"/>
        <v>0.05</v>
      </c>
      <c r="T17" s="16">
        <f t="shared" ca="1" si="9"/>
        <v>0.04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7">
        <v>2.43E-4</v>
      </c>
      <c r="AB17" s="27">
        <v>7.5400000000000003E-5</v>
      </c>
      <c r="AC17" s="22"/>
      <c r="AD17" s="6">
        <v>390</v>
      </c>
      <c r="AE17" s="38">
        <f t="shared" ca="1" si="14"/>
        <v>4.3333333333333335E-2</v>
      </c>
      <c r="AF17" s="39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0.05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7.0000000000000007E-2</v>
      </c>
      <c r="R18" s="16">
        <f t="shared" ca="1" si="7"/>
        <v>0.05</v>
      </c>
      <c r="S18" s="16">
        <f t="shared" ca="1" si="8"/>
        <v>0.05</v>
      </c>
      <c r="T18" s="16">
        <f t="shared" ca="1" si="9"/>
        <v>0.04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7">
        <v>2.5999999999999998E-4</v>
      </c>
      <c r="AB18" s="27">
        <v>7.4599999999999997E-5</v>
      </c>
      <c r="AC18" s="22"/>
      <c r="AD18" s="6">
        <v>389</v>
      </c>
      <c r="AE18" s="38">
        <f t="shared" ca="1" si="14"/>
        <v>4.3333333333333335E-2</v>
      </c>
      <c r="AF18" s="39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7.0000000000000007E-2</v>
      </c>
      <c r="R19" s="16">
        <f t="shared" ca="1" si="7"/>
        <v>0.05</v>
      </c>
      <c r="S19" s="16">
        <f t="shared" ca="1" si="8"/>
        <v>0.05</v>
      </c>
      <c r="T19" s="16">
        <f t="shared" ca="1" si="9"/>
        <v>0.04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7">
        <v>2.7900000000000001E-4</v>
      </c>
      <c r="AB19" s="27">
        <v>6.6600000000000006E-5</v>
      </c>
      <c r="AC19" s="22"/>
      <c r="AD19" s="6">
        <v>388</v>
      </c>
      <c r="AE19" s="38">
        <f t="shared" ca="1" si="14"/>
        <v>4.3333333333333335E-2</v>
      </c>
      <c r="AF19" s="39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0.05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7.0000000000000007E-2</v>
      </c>
      <c r="R20" s="16">
        <f t="shared" ca="1" si="7"/>
        <v>0.05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4.6666666666666669E-2</v>
      </c>
      <c r="Z20" s="26">
        <f t="shared" ca="1" si="13"/>
        <v>0.01</v>
      </c>
      <c r="AA20" s="27">
        <v>2.99E-4</v>
      </c>
      <c r="AB20" s="27">
        <v>6.6099999999999994E-5</v>
      </c>
      <c r="AC20" s="22"/>
      <c r="AD20" s="6">
        <v>387</v>
      </c>
      <c r="AE20" s="38">
        <f t="shared" ca="1" si="14"/>
        <v>4.3333333333333335E-2</v>
      </c>
      <c r="AF20" s="39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0.05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0.1</v>
      </c>
      <c r="G21" s="16">
        <f t="shared" ca="1" si="5"/>
        <v>0.11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7.0000000000000007E-2</v>
      </c>
      <c r="R21" s="16">
        <f t="shared" ca="1" si="7"/>
        <v>0.05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4.6666666666666669E-2</v>
      </c>
      <c r="Z21" s="26">
        <f t="shared" ca="1" si="13"/>
        <v>0.01</v>
      </c>
      <c r="AA21" s="27">
        <v>3.2000000000000003E-4</v>
      </c>
      <c r="AB21" s="27">
        <v>7.4999999999999993E-5</v>
      </c>
      <c r="AC21" s="22"/>
      <c r="AD21" s="6">
        <v>386</v>
      </c>
      <c r="AE21" s="38">
        <f t="shared" ca="1" si="14"/>
        <v>4.3333333333333335E-2</v>
      </c>
      <c r="AF21" s="39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0.05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0.1</v>
      </c>
      <c r="G22" s="16">
        <f t="shared" ca="1" si="5"/>
        <v>0.11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7.0000000000000007E-2</v>
      </c>
      <c r="R22" s="16">
        <f t="shared" ca="1" si="7"/>
        <v>0.05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4.6666666666666669E-2</v>
      </c>
      <c r="Z22" s="26">
        <f t="shared" ca="1" si="13"/>
        <v>0.04</v>
      </c>
      <c r="AA22" s="27">
        <v>3.4299999999999999E-4</v>
      </c>
      <c r="AB22" s="27">
        <v>7.6600000000000005E-5</v>
      </c>
      <c r="AC22" s="22"/>
      <c r="AD22" s="6">
        <v>385</v>
      </c>
      <c r="AE22" s="38">
        <f t="shared" ca="1" si="14"/>
        <v>4.3333333333333335E-2</v>
      </c>
      <c r="AF22" s="39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0.05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0.1</v>
      </c>
      <c r="G23" s="16">
        <f t="shared" ca="1" si="5"/>
        <v>0.11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7.0000000000000007E-2</v>
      </c>
      <c r="R23" s="16">
        <f t="shared" ca="1" si="7"/>
        <v>0.05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0.04</v>
      </c>
      <c r="AA23" s="27">
        <v>3.6699999999999998E-4</v>
      </c>
      <c r="AB23" s="27">
        <v>7.6199999999999995E-5</v>
      </c>
      <c r="AC23" s="22"/>
      <c r="AD23" s="6">
        <v>384</v>
      </c>
      <c r="AE23" s="38">
        <f t="shared" ca="1" si="14"/>
        <v>4.3333333333333335E-2</v>
      </c>
      <c r="AF23" s="39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0.05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0.1</v>
      </c>
      <c r="G24" s="16">
        <f t="shared" ca="1" si="5"/>
        <v>0.11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7.0000000000000007E-2</v>
      </c>
      <c r="R24" s="16">
        <f t="shared" ca="1" si="7"/>
        <v>0.05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4.6666666666666669E-2</v>
      </c>
      <c r="Z24" s="26">
        <f t="shared" ca="1" si="13"/>
        <v>0.04</v>
      </c>
      <c r="AA24" s="27">
        <v>3.9399999999999998E-4</v>
      </c>
      <c r="AB24" s="27">
        <v>7.1799999999999997E-5</v>
      </c>
      <c r="AC24" s="22"/>
      <c r="AD24" s="6">
        <v>383</v>
      </c>
      <c r="AE24" s="38">
        <f t="shared" ca="1" si="14"/>
        <v>4.3333333333333335E-2</v>
      </c>
      <c r="AF24" s="39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0.05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0.1</v>
      </c>
      <c r="G25" s="16">
        <f t="shared" ca="1" si="5"/>
        <v>0.11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7.0000000000000007E-2</v>
      </c>
      <c r="R25" s="16">
        <f t="shared" ca="1" si="7"/>
        <v>0.05</v>
      </c>
      <c r="S25" s="16">
        <f t="shared" ca="1" si="8"/>
        <v>0.08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4.6666666666666669E-2</v>
      </c>
      <c r="Z25" s="26">
        <f t="shared" ca="1" si="13"/>
        <v>7.3333333333333334E-2</v>
      </c>
      <c r="AA25" s="27">
        <v>4.2200000000000001E-4</v>
      </c>
      <c r="AB25" s="27">
        <v>6.4800000000000003E-5</v>
      </c>
      <c r="AC25" s="22"/>
      <c r="AD25" s="6">
        <v>382</v>
      </c>
      <c r="AE25" s="38">
        <f t="shared" ca="1" si="14"/>
        <v>4.3333333333333335E-2</v>
      </c>
      <c r="AF25" s="39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0.05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0.1</v>
      </c>
      <c r="G26" s="16">
        <f t="shared" ca="1" si="5"/>
        <v>0.11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7.0000000000000007E-2</v>
      </c>
      <c r="R26" s="16">
        <f t="shared" ca="1" si="7"/>
        <v>0.05</v>
      </c>
      <c r="S26" s="16">
        <f t="shared" ca="1" si="8"/>
        <v>0.08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4.6666666666666669E-2</v>
      </c>
      <c r="Z26" s="26">
        <f t="shared" ca="1" si="13"/>
        <v>7.3333333333333334E-2</v>
      </c>
      <c r="AA26" s="27">
        <v>4.5199999999999998E-4</v>
      </c>
      <c r="AB26" s="27">
        <v>6.0000000000000002E-5</v>
      </c>
      <c r="AC26" s="22"/>
      <c r="AD26" s="6">
        <v>381</v>
      </c>
      <c r="AE26" s="38">
        <f t="shared" ca="1" si="14"/>
        <v>4.3333333333333335E-2</v>
      </c>
      <c r="AF26" s="39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7.0000000000000007E-2</v>
      </c>
      <c r="C27" s="16">
        <f t="shared" ca="1" si="1"/>
        <v>0.05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0.11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0.08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4.6666666666666669E-2</v>
      </c>
      <c r="Z27" s="26">
        <f t="shared" ca="1" si="13"/>
        <v>7.3333333333333334E-2</v>
      </c>
      <c r="AA27" s="27">
        <v>4.84E-4</v>
      </c>
      <c r="AB27" s="27">
        <v>5.6400000000000002E-5</v>
      </c>
      <c r="AC27" s="22"/>
      <c r="AD27" s="6">
        <v>380</v>
      </c>
      <c r="AE27" s="38">
        <f t="shared" ca="1" si="14"/>
        <v>4.3333333333333335E-2</v>
      </c>
      <c r="AF27" s="39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7.0000000000000007E-2</v>
      </c>
      <c r="C28" s="16">
        <f t="shared" ca="1" si="1"/>
        <v>0.05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0.11</v>
      </c>
      <c r="H28" s="11"/>
      <c r="I28" s="2">
        <v>375</v>
      </c>
      <c r="J28" s="18">
        <v>4</v>
      </c>
      <c r="K28" s="18">
        <v>5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4.6666666666666669E-2</v>
      </c>
      <c r="Z28" s="26">
        <f t="shared" ca="1" si="13"/>
        <v>7.3333333333333334E-2</v>
      </c>
      <c r="AA28" s="27">
        <v>5.1900000000000004E-4</v>
      </c>
      <c r="AB28" s="27">
        <v>5.38E-5</v>
      </c>
      <c r="AC28" s="22"/>
      <c r="AD28" s="6">
        <v>379</v>
      </c>
      <c r="AE28" s="38">
        <f t="shared" ca="1" si="14"/>
        <v>4.3333333333333335E-2</v>
      </c>
      <c r="AF28" s="39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7.0000000000000007E-2</v>
      </c>
      <c r="C29" s="16">
        <f t="shared" ca="1" si="1"/>
        <v>0.05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0.11</v>
      </c>
      <c r="H29" s="11"/>
      <c r="I29" s="2">
        <v>374</v>
      </c>
      <c r="J29" s="18">
        <v>4</v>
      </c>
      <c r="K29" s="18">
        <v>5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4.6666666666666669E-2</v>
      </c>
      <c r="Z29" s="26">
        <f t="shared" ca="1" si="13"/>
        <v>7.3333333333333334E-2</v>
      </c>
      <c r="AA29" s="27">
        <v>5.5599999999999996E-4</v>
      </c>
      <c r="AB29" s="27">
        <v>6.0600000000000003E-5</v>
      </c>
      <c r="AC29" s="22"/>
      <c r="AD29" s="6">
        <v>378</v>
      </c>
      <c r="AE29" s="38">
        <f t="shared" ca="1" si="14"/>
        <v>4.3333333333333335E-2</v>
      </c>
      <c r="AF29" s="39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7.0000000000000007E-2</v>
      </c>
      <c r="C30" s="16">
        <f t="shared" ca="1" si="1"/>
        <v>0.05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0.11</v>
      </c>
      <c r="H30" s="11"/>
      <c r="I30" s="2">
        <v>373</v>
      </c>
      <c r="J30" s="18">
        <v>4</v>
      </c>
      <c r="K30" s="18">
        <v>5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4.6666666666666669E-2</v>
      </c>
      <c r="Z30" s="26">
        <f t="shared" ca="1" si="13"/>
        <v>7.3333333333333334E-2</v>
      </c>
      <c r="AA30" s="27">
        <v>5.9599999999999996E-4</v>
      </c>
      <c r="AB30" s="27">
        <v>6.1299999999999999E-5</v>
      </c>
      <c r="AC30" s="22"/>
      <c r="AD30" s="6">
        <v>377</v>
      </c>
      <c r="AE30" s="38">
        <f t="shared" ca="1" si="14"/>
        <v>4.3333333333333335E-2</v>
      </c>
      <c r="AF30" s="39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7.0000000000000007E-2</v>
      </c>
      <c r="C31" s="16">
        <f t="shared" ca="1" si="1"/>
        <v>0.05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0.11</v>
      </c>
      <c r="H31" s="11"/>
      <c r="I31" s="2">
        <v>372</v>
      </c>
      <c r="J31" s="18">
        <v>4</v>
      </c>
      <c r="K31" s="18">
        <v>5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5.6666666666666671E-2</v>
      </c>
      <c r="Z31" s="26">
        <f t="shared" ca="1" si="13"/>
        <v>4.3333333333333335E-2</v>
      </c>
      <c r="AA31" s="27">
        <v>6.38E-4</v>
      </c>
      <c r="AB31" s="27">
        <v>5.8900000000000002E-5</v>
      </c>
      <c r="AC31" s="22"/>
      <c r="AD31" s="6">
        <v>376</v>
      </c>
      <c r="AE31" s="38">
        <f t="shared" ca="1" si="14"/>
        <v>4.3333333333333335E-2</v>
      </c>
      <c r="AF31" s="39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7.0000000000000007E-2</v>
      </c>
      <c r="C32" s="16">
        <f t="shared" ca="1" si="1"/>
        <v>0.05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0.11</v>
      </c>
      <c r="H32" s="11"/>
      <c r="I32" s="2">
        <v>371</v>
      </c>
      <c r="J32" s="18">
        <v>4</v>
      </c>
      <c r="K32" s="18">
        <v>5</v>
      </c>
      <c r="L32" s="18">
        <v>5</v>
      </c>
      <c r="M32" s="18">
        <v>1</v>
      </c>
      <c r="N32" s="18">
        <v>10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5.6666666666666671E-2</v>
      </c>
      <c r="Z32" s="26">
        <f t="shared" ca="1" si="13"/>
        <v>3.6666666666666667E-2</v>
      </c>
      <c r="AA32" s="27">
        <v>6.8400000000000004E-4</v>
      </c>
      <c r="AB32" s="27">
        <v>5.5899999999999997E-5</v>
      </c>
      <c r="AC32" s="22"/>
      <c r="AD32" s="6">
        <v>375</v>
      </c>
      <c r="AE32" s="38">
        <f t="shared" ca="1" si="14"/>
        <v>4.6666666666666669E-2</v>
      </c>
      <c r="AF32" s="39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7.0000000000000007E-2</v>
      </c>
      <c r="C33" s="16">
        <f t="shared" ca="1" si="1"/>
        <v>0.05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0.11</v>
      </c>
      <c r="H33" s="11"/>
      <c r="I33" s="2">
        <v>370</v>
      </c>
      <c r="J33" s="18">
        <v>4</v>
      </c>
      <c r="K33" s="18">
        <v>5</v>
      </c>
      <c r="L33" s="18">
        <v>5</v>
      </c>
      <c r="M33" s="18">
        <v>1</v>
      </c>
      <c r="N33" s="18">
        <v>10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5.6666666666666671E-2</v>
      </c>
      <c r="Z33" s="26">
        <f t="shared" ca="1" si="13"/>
        <v>4.3333333333333335E-2</v>
      </c>
      <c r="AA33" s="27">
        <v>7.3300000000000004E-4</v>
      </c>
      <c r="AB33" s="27">
        <v>5.3699999999999997E-5</v>
      </c>
      <c r="AC33" s="22"/>
      <c r="AD33" s="6">
        <v>374</v>
      </c>
      <c r="AE33" s="38">
        <f t="shared" ca="1" si="14"/>
        <v>4.6666666666666669E-2</v>
      </c>
      <c r="AF33" s="39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7.0000000000000007E-2</v>
      </c>
      <c r="C34" s="16">
        <f t="shared" ca="1" si="1"/>
        <v>0.05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5</v>
      </c>
      <c r="L34" s="18">
        <v>5</v>
      </c>
      <c r="M34" s="18">
        <v>1</v>
      </c>
      <c r="N34" s="18">
        <v>10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5.6666666666666671E-2</v>
      </c>
      <c r="Z34" s="26">
        <f t="shared" ca="1" si="13"/>
        <v>4.3333333333333335E-2</v>
      </c>
      <c r="AA34" s="27">
        <v>7.85E-4</v>
      </c>
      <c r="AB34" s="27">
        <v>5.3399999999999997E-5</v>
      </c>
      <c r="AC34" s="22"/>
      <c r="AD34" s="6">
        <v>373</v>
      </c>
      <c r="AE34" s="38">
        <f t="shared" ca="1" si="14"/>
        <v>4.6666666666666669E-2</v>
      </c>
      <c r="AF34" s="39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7.0000000000000007E-2</v>
      </c>
      <c r="C35" s="16">
        <f t="shared" ca="1" si="1"/>
        <v>0.05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10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5.6666666666666671E-2</v>
      </c>
      <c r="Z35" s="26">
        <f t="shared" ca="1" si="13"/>
        <v>4.3333333333333335E-2</v>
      </c>
      <c r="AA35" s="27">
        <v>8.4099999999999995E-4</v>
      </c>
      <c r="AB35" s="27">
        <v>5.3499999999999999E-5</v>
      </c>
      <c r="AC35" s="22"/>
      <c r="AD35" s="6">
        <v>372</v>
      </c>
      <c r="AE35" s="38">
        <f t="shared" ca="1" si="14"/>
        <v>4.6666666666666669E-2</v>
      </c>
      <c r="AF35" s="39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7.0000000000000007E-2</v>
      </c>
      <c r="C36" s="16">
        <f t="shared" ca="1" si="1"/>
        <v>0.05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5</v>
      </c>
      <c r="L36" s="18">
        <v>5</v>
      </c>
      <c r="M36" s="18">
        <v>1</v>
      </c>
      <c r="N36" s="18">
        <v>10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5.6666666666666671E-2</v>
      </c>
      <c r="Z36" s="26">
        <f t="shared" ca="1" si="13"/>
        <v>4.3333333333333335E-2</v>
      </c>
      <c r="AA36" s="27">
        <v>9.0200000000000002E-4</v>
      </c>
      <c r="AB36" s="27">
        <v>5.5899999999999997E-5</v>
      </c>
      <c r="AC36" s="22"/>
      <c r="AD36" s="6">
        <v>371</v>
      </c>
      <c r="AE36" s="38">
        <f t="shared" ca="1" si="14"/>
        <v>4.6666666666666669E-2</v>
      </c>
      <c r="AF36" s="39">
        <f t="shared" ca="1" si="15"/>
        <v>0.04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7.0000000000000007E-2</v>
      </c>
      <c r="C37" s="16">
        <f t="shared" ca="1" si="1"/>
        <v>0.05</v>
      </c>
      <c r="D37" s="16">
        <f t="shared" ca="1" si="2"/>
        <v>0.05</v>
      </c>
      <c r="E37" s="16">
        <f t="shared" ca="1" si="3"/>
        <v>0.04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5</v>
      </c>
      <c r="L37" s="18">
        <v>5</v>
      </c>
      <c r="M37" s="18">
        <v>1</v>
      </c>
      <c r="N37" s="18">
        <v>10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5.6666666666666671E-2</v>
      </c>
      <c r="Z37" s="26">
        <f t="shared" ca="1" si="13"/>
        <v>4.3333333333333335E-2</v>
      </c>
      <c r="AA37" s="27">
        <v>9.6599999999999995E-4</v>
      </c>
      <c r="AB37" s="27">
        <v>5.3900000000000002E-5</v>
      </c>
      <c r="AC37" s="22"/>
      <c r="AD37" s="6">
        <v>370</v>
      </c>
      <c r="AE37" s="38">
        <f t="shared" ca="1" si="14"/>
        <v>4.6666666666666669E-2</v>
      </c>
      <c r="AF37" s="39">
        <f t="shared" ca="1" si="15"/>
        <v>0.04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7.0000000000000007E-2</v>
      </c>
      <c r="C38" s="16">
        <f t="shared" ca="1" si="1"/>
        <v>0.05</v>
      </c>
      <c r="D38" s="16">
        <f t="shared" ca="1" si="2"/>
        <v>0.05</v>
      </c>
      <c r="E38" s="16">
        <f t="shared" ca="1" si="3"/>
        <v>0.04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5</v>
      </c>
      <c r="L38" s="18">
        <v>5</v>
      </c>
      <c r="M38" s="18">
        <v>1</v>
      </c>
      <c r="N38" s="18">
        <v>10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5.6666666666666671E-2</v>
      </c>
      <c r="Z38" s="26">
        <f t="shared" ca="1" si="13"/>
        <v>0.01</v>
      </c>
      <c r="AA38" s="27">
        <v>1.0399999999999999E-3</v>
      </c>
      <c r="AB38" s="27">
        <v>4.99E-5</v>
      </c>
      <c r="AC38" s="22"/>
      <c r="AD38" s="6">
        <v>369</v>
      </c>
      <c r="AE38" s="38">
        <f t="shared" ca="1" si="14"/>
        <v>4.6666666666666669E-2</v>
      </c>
      <c r="AF38" s="39">
        <f t="shared" ca="1" si="15"/>
        <v>0.04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7.0000000000000007E-2</v>
      </c>
      <c r="C39" s="16">
        <f t="shared" ca="1" si="1"/>
        <v>0.05</v>
      </c>
      <c r="D39" s="16">
        <f t="shared" ca="1" si="2"/>
        <v>0.05</v>
      </c>
      <c r="E39" s="16">
        <f t="shared" ca="1" si="3"/>
        <v>0.04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5</v>
      </c>
      <c r="L39" s="18">
        <v>5</v>
      </c>
      <c r="M39" s="18">
        <v>1</v>
      </c>
      <c r="N39" s="18">
        <v>10</v>
      </c>
      <c r="O39" s="18">
        <v>11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5.6666666666666671E-2</v>
      </c>
      <c r="Z39" s="26">
        <f t="shared" ca="1" si="13"/>
        <v>0.01</v>
      </c>
      <c r="AA39" s="27">
        <v>1.1100000000000001E-3</v>
      </c>
      <c r="AB39" s="27">
        <v>5.0399999999999999E-5</v>
      </c>
      <c r="AC39" s="22"/>
      <c r="AD39" s="6">
        <v>368</v>
      </c>
      <c r="AE39" s="38">
        <f t="shared" ca="1" si="14"/>
        <v>0.21666666666666667</v>
      </c>
      <c r="AF39" s="39">
        <f t="shared" ca="1" si="15"/>
        <v>0.04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7.0000000000000007E-2</v>
      </c>
      <c r="C40" s="16">
        <f t="shared" ca="1" si="1"/>
        <v>0.05</v>
      </c>
      <c r="D40" s="16">
        <f t="shared" ca="1" si="2"/>
        <v>0.05</v>
      </c>
      <c r="E40" s="16">
        <f t="shared" ca="1" si="3"/>
        <v>0.04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5</v>
      </c>
      <c r="L40" s="18">
        <v>5</v>
      </c>
      <c r="M40" s="18">
        <v>1</v>
      </c>
      <c r="N40" s="18">
        <v>10</v>
      </c>
      <c r="O40" s="18">
        <v>11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5.6666666666666671E-2</v>
      </c>
      <c r="Z40" s="26">
        <f t="shared" ca="1" si="13"/>
        <v>0.01</v>
      </c>
      <c r="AA40" s="27">
        <v>1.1900000000000001E-3</v>
      </c>
      <c r="AB40" s="27">
        <v>5.2299999999999997E-5</v>
      </c>
      <c r="AC40" s="22"/>
      <c r="AD40" s="6">
        <v>367</v>
      </c>
      <c r="AE40" s="38">
        <f t="shared" ca="1" si="14"/>
        <v>4.6666666666666669E-2</v>
      </c>
      <c r="AF40" s="39">
        <f t="shared" ca="1" si="15"/>
        <v>0.04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7.0000000000000007E-2</v>
      </c>
      <c r="C41" s="16">
        <f t="shared" ca="1" si="1"/>
        <v>0.05</v>
      </c>
      <c r="D41" s="16">
        <f t="shared" ca="1" si="2"/>
        <v>0.05</v>
      </c>
      <c r="E41" s="16">
        <f t="shared" ca="1" si="3"/>
        <v>0.04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5</v>
      </c>
      <c r="L41" s="18">
        <v>5</v>
      </c>
      <c r="M41" s="18">
        <v>1</v>
      </c>
      <c r="N41" s="18">
        <v>10</v>
      </c>
      <c r="O41" s="18">
        <v>11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5.6666666666666671E-2</v>
      </c>
      <c r="Z41" s="26">
        <f t="shared" ca="1" si="13"/>
        <v>0.02</v>
      </c>
      <c r="AA41" s="27">
        <v>1.2700000000000001E-3</v>
      </c>
      <c r="AB41" s="27">
        <v>5.3300000000000001E-5</v>
      </c>
      <c r="AC41" s="22"/>
      <c r="AD41" s="6">
        <v>366</v>
      </c>
      <c r="AE41" s="38">
        <f t="shared" ca="1" si="14"/>
        <v>4.6666666666666669E-2</v>
      </c>
      <c r="AF41" s="39">
        <f t="shared" ca="1" si="15"/>
        <v>0.04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7.0000000000000007E-2</v>
      </c>
      <c r="C42" s="16">
        <f t="shared" ca="1" si="1"/>
        <v>0.05</v>
      </c>
      <c r="D42" s="16">
        <f t="shared" ca="1" si="2"/>
        <v>0.05</v>
      </c>
      <c r="E42" s="16">
        <f t="shared" ca="1" si="3"/>
        <v>0.04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5</v>
      </c>
      <c r="L42" s="18">
        <v>5</v>
      </c>
      <c r="M42" s="18">
        <v>1</v>
      </c>
      <c r="N42" s="18">
        <v>10</v>
      </c>
      <c r="O42" s="18">
        <v>11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5.6666666666666671E-2</v>
      </c>
      <c r="Z42" s="26">
        <f t="shared" ca="1" si="13"/>
        <v>0.02</v>
      </c>
      <c r="AA42" s="27">
        <v>1.3600000000000001E-3</v>
      </c>
      <c r="AB42" s="27">
        <v>5.3199999999999999E-5</v>
      </c>
      <c r="AC42" s="22"/>
      <c r="AD42" s="6">
        <v>365</v>
      </c>
      <c r="AE42" s="38">
        <f t="shared" ca="1" si="14"/>
        <v>4.6666666666666669E-2</v>
      </c>
      <c r="AF42" s="39">
        <f t="shared" ca="1" si="15"/>
        <v>0.04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7.0000000000000007E-2</v>
      </c>
      <c r="C43" s="16">
        <f t="shared" ca="1" si="1"/>
        <v>0.05</v>
      </c>
      <c r="D43" s="16">
        <f t="shared" ca="1" si="2"/>
        <v>0.05</v>
      </c>
      <c r="E43" s="16">
        <f t="shared" ca="1" si="3"/>
        <v>0.04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5</v>
      </c>
      <c r="L43" s="18">
        <v>5</v>
      </c>
      <c r="M43" s="18">
        <v>1</v>
      </c>
      <c r="N43" s="18">
        <v>10</v>
      </c>
      <c r="O43" s="18">
        <v>11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5.6666666666666671E-2</v>
      </c>
      <c r="Z43" s="26">
        <f t="shared" ca="1" si="13"/>
        <v>0.02</v>
      </c>
      <c r="AA43" s="27">
        <v>1.5100000000000001E-3</v>
      </c>
      <c r="AB43" s="27">
        <v>5.0099999999999998E-5</v>
      </c>
      <c r="AC43" s="22"/>
      <c r="AD43" s="6">
        <v>364</v>
      </c>
      <c r="AE43" s="38">
        <f t="shared" ca="1" si="14"/>
        <v>4.6666666666666669E-2</v>
      </c>
      <c r="AF43" s="39">
        <f t="shared" ca="1" si="15"/>
        <v>7.3333333333333334E-2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7.0000000000000007E-2</v>
      </c>
      <c r="C44" s="16">
        <f t="shared" ca="1" si="1"/>
        <v>0.05</v>
      </c>
      <c r="D44" s="16">
        <f t="shared" ca="1" si="2"/>
        <v>0.05</v>
      </c>
      <c r="E44" s="16">
        <f t="shared" ca="1" si="3"/>
        <v>0.04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5</v>
      </c>
      <c r="L44" s="18">
        <v>5</v>
      </c>
      <c r="M44" s="18">
        <v>1</v>
      </c>
      <c r="N44" s="18">
        <v>10</v>
      </c>
      <c r="O44" s="18">
        <v>11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5.6666666666666671E-2</v>
      </c>
      <c r="Z44" s="26">
        <f t="shared" ca="1" si="13"/>
        <v>0.02</v>
      </c>
      <c r="AA44" s="27">
        <v>2.33E-3</v>
      </c>
      <c r="AB44" s="27">
        <v>4.4499999999999997E-5</v>
      </c>
      <c r="AC44" s="22"/>
      <c r="AD44" s="6">
        <v>363</v>
      </c>
      <c r="AE44" s="38">
        <f t="shared" ca="1" si="14"/>
        <v>4.6666666666666669E-2</v>
      </c>
      <c r="AF44" s="39">
        <f t="shared" ca="1" si="15"/>
        <v>7.3333333333333334E-2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7.0000000000000007E-2</v>
      </c>
      <c r="C45" s="16">
        <f t="shared" ca="1" si="1"/>
        <v>0.05</v>
      </c>
      <c r="D45" s="16">
        <f t="shared" ca="1" si="2"/>
        <v>0.05</v>
      </c>
      <c r="E45" s="16">
        <f t="shared" ca="1" si="3"/>
        <v>0.04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5</v>
      </c>
      <c r="L45" s="18">
        <v>5</v>
      </c>
      <c r="M45" s="18">
        <v>1</v>
      </c>
      <c r="N45" s="18">
        <v>10</v>
      </c>
      <c r="O45" s="18">
        <v>11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5.6666666666666671E-2</v>
      </c>
      <c r="Z45" s="26">
        <f t="shared" ca="1" si="13"/>
        <v>0.02</v>
      </c>
      <c r="AA45" s="27">
        <v>3.5999999999999999E-3</v>
      </c>
      <c r="AB45" s="27">
        <v>3.6100000000000003E-5</v>
      </c>
      <c r="AC45" s="22"/>
      <c r="AD45" s="6">
        <v>362</v>
      </c>
      <c r="AE45" s="38">
        <f t="shared" ca="1" si="14"/>
        <v>4.6666666666666669E-2</v>
      </c>
      <c r="AF45" s="39">
        <f t="shared" ca="1" si="15"/>
        <v>7.3333333333333334E-2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7.0000000000000007E-2</v>
      </c>
      <c r="C46" s="16">
        <f t="shared" ca="1" si="1"/>
        <v>0.05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5</v>
      </c>
      <c r="L46" s="18">
        <v>5</v>
      </c>
      <c r="M46" s="18">
        <v>1</v>
      </c>
      <c r="N46" s="18">
        <v>10</v>
      </c>
      <c r="O46" s="18">
        <v>11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5.6666666666666671E-2</v>
      </c>
      <c r="Z46" s="26">
        <f t="shared" ca="1" si="13"/>
        <v>0.02</v>
      </c>
      <c r="AA46" s="27">
        <v>5.5500000000000002E-3</v>
      </c>
      <c r="AB46" s="27">
        <v>3.3200000000000001E-5</v>
      </c>
      <c r="AC46" s="22"/>
      <c r="AD46" s="6">
        <v>361</v>
      </c>
      <c r="AE46" s="38">
        <f t="shared" ca="1" si="14"/>
        <v>4.6666666666666669E-2</v>
      </c>
      <c r="AF46" s="39">
        <f t="shared" ca="1" si="15"/>
        <v>7.3333333333333334E-2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7.0000000000000007E-2</v>
      </c>
      <c r="C47" s="16">
        <f t="shared" ca="1" si="1"/>
        <v>0.05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5</v>
      </c>
      <c r="L47" s="18">
        <v>5</v>
      </c>
      <c r="M47" s="18">
        <v>1</v>
      </c>
      <c r="N47" s="18">
        <v>10</v>
      </c>
      <c r="O47" s="18">
        <v>11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5.6666666666666671E-2</v>
      </c>
      <c r="Z47" s="26">
        <f t="shared" ca="1" si="13"/>
        <v>0.02</v>
      </c>
      <c r="AA47" s="27">
        <v>8.5500000000000003E-3</v>
      </c>
      <c r="AB47" s="27">
        <v>3.1399999999999998E-5</v>
      </c>
      <c r="AC47" s="22"/>
      <c r="AD47" s="6">
        <v>360</v>
      </c>
      <c r="AE47" s="38">
        <f t="shared" ca="1" si="14"/>
        <v>4.6666666666666669E-2</v>
      </c>
      <c r="AF47" s="39">
        <f t="shared" ca="1" si="15"/>
        <v>7.3333333333333334E-2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7.0000000000000007E-2</v>
      </c>
      <c r="C48" s="16">
        <f t="shared" ca="1" si="1"/>
        <v>0.05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5</v>
      </c>
      <c r="L48" s="18">
        <v>5</v>
      </c>
      <c r="M48" s="18">
        <v>1</v>
      </c>
      <c r="N48" s="18">
        <v>10</v>
      </c>
      <c r="O48" s="18">
        <v>11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5.6666666666666671E-2</v>
      </c>
      <c r="Z48" s="26">
        <f t="shared" ca="1" si="13"/>
        <v>0.02</v>
      </c>
      <c r="AA48" s="27">
        <v>1.32E-2</v>
      </c>
      <c r="AB48" s="27">
        <v>2.7900000000000001E-5</v>
      </c>
      <c r="AC48" s="22"/>
      <c r="AD48" s="6">
        <v>359</v>
      </c>
      <c r="AE48" s="38">
        <f t="shared" ca="1" si="14"/>
        <v>4.6666666666666669E-2</v>
      </c>
      <c r="AF48" s="39">
        <f t="shared" ca="1" si="15"/>
        <v>7.3333333333333334E-2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7.0000000000000007E-2</v>
      </c>
      <c r="C49" s="16">
        <f t="shared" ca="1" si="1"/>
        <v>0.05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5</v>
      </c>
      <c r="L49" s="18">
        <v>5</v>
      </c>
      <c r="M49" s="18">
        <v>1</v>
      </c>
      <c r="N49" s="18">
        <v>10</v>
      </c>
      <c r="O49" s="18">
        <v>11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5.6666666666666671E-2</v>
      </c>
      <c r="Z49" s="26">
        <f t="shared" ca="1" si="13"/>
        <v>0.02</v>
      </c>
      <c r="AA49" s="27">
        <v>2.0299999999999999E-2</v>
      </c>
      <c r="AB49" s="27">
        <v>2.4300000000000001E-5</v>
      </c>
      <c r="AC49" s="22"/>
      <c r="AD49" s="6">
        <v>358</v>
      </c>
      <c r="AE49" s="38">
        <f t="shared" ca="1" si="14"/>
        <v>4.6666666666666669E-2</v>
      </c>
      <c r="AF49" s="39">
        <f t="shared" ca="1" si="15"/>
        <v>7.3333333333333334E-2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7.0000000000000007E-2</v>
      </c>
      <c r="C50" s="16">
        <f t="shared" ca="1" si="1"/>
        <v>0.05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7</v>
      </c>
      <c r="K50" s="18">
        <v>5</v>
      </c>
      <c r="L50" s="18">
        <v>5</v>
      </c>
      <c r="M50" s="18">
        <v>1</v>
      </c>
      <c r="N50" s="18">
        <v>1</v>
      </c>
      <c r="O50" s="18">
        <v>11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5.6666666666666671E-2</v>
      </c>
      <c r="Z50" s="26">
        <f t="shared" ca="1" si="13"/>
        <v>0.01</v>
      </c>
      <c r="AA50" s="27">
        <v>3.1300000000000001E-2</v>
      </c>
      <c r="AB50" s="27">
        <v>2.1299999999999999E-5</v>
      </c>
      <c r="AC50" s="22"/>
      <c r="AD50" s="6">
        <v>357</v>
      </c>
      <c r="AE50" s="38">
        <f t="shared" ca="1" si="14"/>
        <v>4.6666666666666669E-2</v>
      </c>
      <c r="AF50" s="39">
        <f t="shared" ca="1" si="15"/>
        <v>7.3333333333333334E-2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7.0000000000000007E-2</v>
      </c>
      <c r="C51" s="16">
        <f t="shared" ca="1" si="1"/>
        <v>0.05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7</v>
      </c>
      <c r="K51" s="18">
        <v>5</v>
      </c>
      <c r="L51" s="18">
        <v>5</v>
      </c>
      <c r="M51" s="18">
        <v>1</v>
      </c>
      <c r="N51" s="18">
        <v>1</v>
      </c>
      <c r="O51" s="18">
        <v>11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5.6666666666666671E-2</v>
      </c>
      <c r="Z51" s="26">
        <f t="shared" ca="1" si="13"/>
        <v>0.01</v>
      </c>
      <c r="AA51" s="27">
        <v>4.8300000000000003E-2</v>
      </c>
      <c r="AB51" s="27">
        <v>1.7499999999999998E-5</v>
      </c>
      <c r="AC51" s="22"/>
      <c r="AD51" s="6">
        <v>356</v>
      </c>
      <c r="AE51" s="38">
        <f t="shared" ca="1" si="14"/>
        <v>4.6666666666666669E-2</v>
      </c>
      <c r="AF51" s="39">
        <f t="shared" ca="1" si="15"/>
        <v>7.3333333333333334E-2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7.0000000000000007E-2</v>
      </c>
      <c r="C52" s="16">
        <f t="shared" ca="1" si="1"/>
        <v>0.05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7</v>
      </c>
      <c r="K52" s="18">
        <v>5</v>
      </c>
      <c r="L52" s="18">
        <v>5</v>
      </c>
      <c r="M52" s="18">
        <v>1</v>
      </c>
      <c r="N52" s="18">
        <v>1</v>
      </c>
      <c r="O52" s="18">
        <v>11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5.6666666666666671E-2</v>
      </c>
      <c r="Z52" s="26">
        <f t="shared" ca="1" si="13"/>
        <v>0.01</v>
      </c>
      <c r="AA52" s="27">
        <v>7.4499999999999997E-2</v>
      </c>
      <c r="AB52" s="27">
        <v>1.34E-5</v>
      </c>
      <c r="AC52" s="22"/>
      <c r="AD52" s="6">
        <v>355</v>
      </c>
      <c r="AE52" s="38">
        <f t="shared" ca="1" si="14"/>
        <v>4.6666666666666669E-2</v>
      </c>
      <c r="AF52" s="39">
        <f t="shared" ca="1" si="15"/>
        <v>7.3333333333333334E-2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7.0000000000000007E-2</v>
      </c>
      <c r="C53" s="16">
        <f t="shared" ca="1" si="1"/>
        <v>0.05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7</v>
      </c>
      <c r="K53" s="18">
        <v>5</v>
      </c>
      <c r="L53" s="18">
        <v>5</v>
      </c>
      <c r="M53" s="18">
        <v>-3</v>
      </c>
      <c r="N53" s="18">
        <v>-3</v>
      </c>
      <c r="O53" s="18">
        <v>11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5.6666666666666671E-2</v>
      </c>
      <c r="Z53" s="26">
        <f t="shared" ca="1" si="13"/>
        <v>0.01</v>
      </c>
      <c r="AA53" s="27">
        <v>0.115</v>
      </c>
      <c r="AB53" s="27">
        <v>9.6800000000000005E-6</v>
      </c>
      <c r="AC53" s="22"/>
      <c r="AD53" s="6">
        <v>354</v>
      </c>
      <c r="AE53" s="38">
        <f t="shared" ca="1" si="14"/>
        <v>4.6666666666666669E-2</v>
      </c>
      <c r="AF53" s="39">
        <f t="shared" ca="1" si="15"/>
        <v>7.3333333333333334E-2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7.0000000000000007E-2</v>
      </c>
      <c r="C54" s="16">
        <f t="shared" ca="1" si="1"/>
        <v>0.05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7</v>
      </c>
      <c r="K54" s="18">
        <v>5</v>
      </c>
      <c r="L54" s="18">
        <v>5</v>
      </c>
      <c r="M54" s="18">
        <v>1</v>
      </c>
      <c r="N54" s="18">
        <v>1</v>
      </c>
      <c r="O54" s="18">
        <v>11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5.6666666666666671E-2</v>
      </c>
      <c r="Z54" s="26">
        <f t="shared" ca="1" si="13"/>
        <v>0.01</v>
      </c>
      <c r="AA54" s="27">
        <v>0.17699999999999999</v>
      </c>
      <c r="AB54" s="27">
        <v>7.1899999999999998E-6</v>
      </c>
      <c r="AC54" s="22"/>
      <c r="AD54" s="6">
        <v>353</v>
      </c>
      <c r="AE54" s="38">
        <f t="shared" ca="1" si="14"/>
        <v>5.6666666666666671E-2</v>
      </c>
      <c r="AF54" s="39">
        <f t="shared" ca="1" si="15"/>
        <v>4.3333333333333335E-2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7.0000000000000007E-2</v>
      </c>
      <c r="C55" s="16">
        <f t="shared" ca="1" si="1"/>
        <v>0.05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7</v>
      </c>
      <c r="K55" s="18">
        <v>5</v>
      </c>
      <c r="L55" s="18">
        <v>5</v>
      </c>
      <c r="M55" s="18">
        <v>1</v>
      </c>
      <c r="N55" s="18">
        <v>1</v>
      </c>
      <c r="O55" s="18">
        <v>11</v>
      </c>
      <c r="P55" s="22">
        <v>375</v>
      </c>
      <c r="Q55" s="22">
        <f t="shared" ca="1" si="16"/>
        <v>0.04</v>
      </c>
      <c r="R55" s="22">
        <f t="shared" ca="1" si="17"/>
        <v>0.05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5.6666666666666671E-2</v>
      </c>
      <c r="Z55" s="26">
        <f t="shared" ca="1" si="13"/>
        <v>0.01</v>
      </c>
      <c r="AA55" s="27">
        <v>0.27300000000000002</v>
      </c>
      <c r="AB55" s="27">
        <v>4.3499999999999999E-6</v>
      </c>
      <c r="AC55" s="22"/>
      <c r="AD55" s="6">
        <v>352</v>
      </c>
      <c r="AE55" s="38">
        <f t="shared" ca="1" si="14"/>
        <v>5.6666666666666671E-2</v>
      </c>
      <c r="AF55" s="39">
        <f t="shared" ca="1" si="15"/>
        <v>4.3333333333333335E-2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7.0000000000000007E-2</v>
      </c>
      <c r="C56" s="16">
        <f t="shared" ca="1" si="1"/>
        <v>0.05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7</v>
      </c>
      <c r="K56" s="18">
        <v>5</v>
      </c>
      <c r="L56" s="18">
        <v>5</v>
      </c>
      <c r="M56" s="18">
        <v>1</v>
      </c>
      <c r="N56" s="18">
        <v>1</v>
      </c>
      <c r="O56" s="18">
        <v>11</v>
      </c>
      <c r="P56" s="22">
        <v>374</v>
      </c>
      <c r="Q56" s="22">
        <f t="shared" ca="1" si="16"/>
        <v>0.04</v>
      </c>
      <c r="R56" s="22">
        <f t="shared" ca="1" si="17"/>
        <v>0.05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5.6666666666666671E-2</v>
      </c>
      <c r="Z56" s="26">
        <f t="shared" ca="1" si="13"/>
        <v>0.01</v>
      </c>
      <c r="AA56" s="27">
        <v>0.42099999999999999</v>
      </c>
      <c r="AB56" s="27">
        <v>2.3599999999999999E-6</v>
      </c>
      <c r="AC56" s="22"/>
      <c r="AD56" s="6">
        <v>351</v>
      </c>
      <c r="AE56" s="38">
        <f t="shared" ca="1" si="14"/>
        <v>5.6666666666666671E-2</v>
      </c>
      <c r="AF56" s="39">
        <f t="shared" ca="1" si="15"/>
        <v>4.3333333333333335E-2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7.0000000000000007E-2</v>
      </c>
      <c r="C57" s="16">
        <f t="shared" ca="1" si="1"/>
        <v>0.05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7</v>
      </c>
      <c r="K57" s="18">
        <v>5</v>
      </c>
      <c r="L57" s="18">
        <v>5</v>
      </c>
      <c r="M57" s="18">
        <v>1</v>
      </c>
      <c r="N57" s="18">
        <v>1</v>
      </c>
      <c r="O57" s="18">
        <v>11</v>
      </c>
      <c r="P57" s="22">
        <v>373</v>
      </c>
      <c r="Q57" s="22">
        <f t="shared" ca="1" si="16"/>
        <v>0.04</v>
      </c>
      <c r="R57" s="22">
        <f t="shared" ca="1" si="17"/>
        <v>0.05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5.6666666666666671E-2</v>
      </c>
      <c r="Z57" s="26">
        <f t="shared" ca="1" si="13"/>
        <v>0.01</v>
      </c>
      <c r="AA57" s="27">
        <v>0.64900000000000002</v>
      </c>
      <c r="AB57" s="27">
        <v>8.6400000000000001E-7</v>
      </c>
      <c r="AC57" s="22"/>
      <c r="AD57" s="6">
        <v>350</v>
      </c>
      <c r="AE57" s="38">
        <f t="shared" ca="1" si="14"/>
        <v>5.6666666666666671E-2</v>
      </c>
      <c r="AF57" s="39">
        <f t="shared" ca="1" si="15"/>
        <v>3.6666666666666667E-2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7.0000000000000007E-2</v>
      </c>
      <c r="C58" s="16">
        <f t="shared" ca="1" si="1"/>
        <v>0.05</v>
      </c>
      <c r="D58" s="16">
        <f t="shared" ca="1" si="2"/>
        <v>0.08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7</v>
      </c>
      <c r="K58" s="18">
        <v>5</v>
      </c>
      <c r="L58" s="18">
        <v>5</v>
      </c>
      <c r="M58" s="18">
        <v>1</v>
      </c>
      <c r="N58" s="18">
        <v>1</v>
      </c>
      <c r="O58" s="18">
        <v>11</v>
      </c>
      <c r="P58" s="22">
        <v>372</v>
      </c>
      <c r="Q58" s="22">
        <f t="shared" ca="1" si="16"/>
        <v>0.04</v>
      </c>
      <c r="R58" s="22">
        <f t="shared" ca="1" si="17"/>
        <v>0.05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5.6666666666666671E-2</v>
      </c>
      <c r="Z58" s="26">
        <f t="shared" ca="1" si="13"/>
        <v>0.01</v>
      </c>
      <c r="AA58" s="27">
        <v>1</v>
      </c>
      <c r="AB58" s="27">
        <v>3.3700000000000001E-7</v>
      </c>
      <c r="AC58" s="22"/>
      <c r="AD58" s="6">
        <v>349</v>
      </c>
      <c r="AE58" s="38">
        <f t="shared" ca="1" si="14"/>
        <v>5.6666666666666671E-2</v>
      </c>
      <c r="AF58" s="39">
        <f t="shared" ca="1" si="15"/>
        <v>4.3333333333333335E-2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7.0000000000000007E-2</v>
      </c>
      <c r="C59" s="16">
        <f t="shared" ca="1" si="1"/>
        <v>0.05</v>
      </c>
      <c r="D59" s="16">
        <f t="shared" ca="1" si="2"/>
        <v>0.08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7</v>
      </c>
      <c r="K59" s="18">
        <v>5</v>
      </c>
      <c r="L59" s="18">
        <v>5</v>
      </c>
      <c r="M59" s="18">
        <v>1</v>
      </c>
      <c r="N59" s="18">
        <v>1</v>
      </c>
      <c r="O59" s="18">
        <v>11</v>
      </c>
      <c r="P59" s="22">
        <v>371</v>
      </c>
      <c r="Q59" s="22">
        <f t="shared" ca="1" si="16"/>
        <v>0.04</v>
      </c>
      <c r="R59" s="22">
        <f t="shared" ca="1" si="17"/>
        <v>0.05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0.1</v>
      </c>
      <c r="V59" s="22">
        <f t="shared" ca="1" si="21"/>
        <v>0.01</v>
      </c>
      <c r="W59" s="22"/>
      <c r="X59" s="25">
        <v>296</v>
      </c>
      <c r="Y59" s="26">
        <f t="shared" ca="1" si="12"/>
        <v>5.6666666666666671E-2</v>
      </c>
      <c r="Z59" s="26">
        <f t="shared" ca="1" si="13"/>
        <v>0.01</v>
      </c>
      <c r="AA59" s="27">
        <v>1</v>
      </c>
      <c r="AB59" s="27">
        <v>1.2800000000000001E-7</v>
      </c>
      <c r="AC59" s="22"/>
      <c r="AD59" s="6">
        <v>348</v>
      </c>
      <c r="AE59" s="38">
        <f t="shared" ca="1" si="14"/>
        <v>5.6666666666666671E-2</v>
      </c>
      <c r="AF59" s="39">
        <f t="shared" ca="1" si="15"/>
        <v>4.3333333333333335E-2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7.0000000000000007E-2</v>
      </c>
      <c r="C60" s="16">
        <f t="shared" ca="1" si="1"/>
        <v>0.05</v>
      </c>
      <c r="D60" s="16">
        <f t="shared" ca="1" si="2"/>
        <v>0.08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7</v>
      </c>
      <c r="K60" s="18">
        <v>5</v>
      </c>
      <c r="L60" s="18">
        <v>5</v>
      </c>
      <c r="M60" s="18">
        <v>1</v>
      </c>
      <c r="N60" s="18">
        <v>1</v>
      </c>
      <c r="O60" s="18">
        <v>11</v>
      </c>
      <c r="P60" s="22">
        <v>370</v>
      </c>
      <c r="Q60" s="22">
        <f t="shared" ca="1" si="16"/>
        <v>0.04</v>
      </c>
      <c r="R60" s="22">
        <f t="shared" ca="1" si="17"/>
        <v>0.05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0.1</v>
      </c>
      <c r="V60" s="22">
        <f t="shared" ca="1" si="21"/>
        <v>0.01</v>
      </c>
      <c r="W60" s="22"/>
      <c r="X60" s="25">
        <v>294</v>
      </c>
      <c r="Y60" s="26">
        <f t="shared" ca="1" si="12"/>
        <v>5.6666666666666671E-2</v>
      </c>
      <c r="Z60" s="26">
        <f t="shared" ca="1" si="13"/>
        <v>0.01</v>
      </c>
      <c r="AA60" s="27">
        <v>1</v>
      </c>
      <c r="AB60" s="27">
        <v>2.92E-8</v>
      </c>
      <c r="AC60" s="22"/>
      <c r="AD60" s="6">
        <v>347</v>
      </c>
      <c r="AE60" s="38">
        <f t="shared" ca="1" si="14"/>
        <v>5.6666666666666671E-2</v>
      </c>
      <c r="AF60" s="39">
        <f t="shared" ca="1" si="15"/>
        <v>4.3333333333333335E-2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0.05</v>
      </c>
      <c r="D61" s="16">
        <f t="shared" ca="1" si="2"/>
        <v>0.08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7</v>
      </c>
      <c r="K61" s="18">
        <v>5</v>
      </c>
      <c r="L61" s="18">
        <v>5</v>
      </c>
      <c r="M61" s="18">
        <v>1</v>
      </c>
      <c r="N61" s="18">
        <v>1</v>
      </c>
      <c r="O61" s="18">
        <v>11</v>
      </c>
      <c r="P61" s="22">
        <v>369</v>
      </c>
      <c r="Q61" s="22">
        <f t="shared" ca="1" si="16"/>
        <v>0.04</v>
      </c>
      <c r="R61" s="22">
        <f t="shared" ca="1" si="17"/>
        <v>0.05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0.1</v>
      </c>
      <c r="V61" s="22">
        <f t="shared" ca="1" si="21"/>
        <v>0.01</v>
      </c>
      <c r="W61" s="22"/>
      <c r="X61" s="25">
        <v>292</v>
      </c>
      <c r="Y61" s="26">
        <f t="shared" ca="1" si="12"/>
        <v>5.6666666666666671E-2</v>
      </c>
      <c r="Z61" s="26">
        <f t="shared" ca="1" si="13"/>
        <v>0.01</v>
      </c>
      <c r="AA61" s="27">
        <v>1</v>
      </c>
      <c r="AB61" s="27">
        <v>2.8499999999999999E-9</v>
      </c>
      <c r="AC61" s="22"/>
      <c r="AD61" s="6">
        <v>346</v>
      </c>
      <c r="AE61" s="38">
        <f t="shared" ca="1" si="14"/>
        <v>5.6666666666666671E-2</v>
      </c>
      <c r="AF61" s="39">
        <f t="shared" ca="1" si="15"/>
        <v>4.3333333333333335E-2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0.05</v>
      </c>
      <c r="D62" s="16">
        <f t="shared" ca="1" si="2"/>
        <v>0.08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7</v>
      </c>
      <c r="K62" s="18">
        <v>5</v>
      </c>
      <c r="L62" s="18">
        <v>5</v>
      </c>
      <c r="M62" s="18">
        <v>1</v>
      </c>
      <c r="N62" s="18">
        <v>1</v>
      </c>
      <c r="O62" s="18">
        <v>11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0.1</v>
      </c>
      <c r="V62" s="22">
        <f t="shared" ca="1" si="21"/>
        <v>0.01</v>
      </c>
      <c r="W62" s="22"/>
      <c r="X62" s="25">
        <v>290</v>
      </c>
      <c r="Y62" s="26">
        <f t="shared" ca="1" si="12"/>
        <v>6.6666666666666666E-2</v>
      </c>
      <c r="Z62" s="26">
        <f t="shared" ca="1" si="13"/>
        <v>0.01</v>
      </c>
      <c r="AA62" s="27">
        <v>1</v>
      </c>
      <c r="AB62" s="27">
        <v>3.0900000000000002E-10</v>
      </c>
      <c r="AC62" s="22"/>
      <c r="AD62" s="6">
        <v>345</v>
      </c>
      <c r="AE62" s="38">
        <f t="shared" ca="1" si="14"/>
        <v>5.6666666666666671E-2</v>
      </c>
      <c r="AF62" s="39">
        <f t="shared" ca="1" si="15"/>
        <v>4.3333333333333335E-2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0.08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7</v>
      </c>
      <c r="K63" s="18">
        <v>5</v>
      </c>
      <c r="L63" s="18">
        <v>5</v>
      </c>
      <c r="M63" s="18">
        <v>1</v>
      </c>
      <c r="N63" s="18">
        <v>1</v>
      </c>
      <c r="O63" s="18">
        <v>11</v>
      </c>
      <c r="P63" s="22">
        <v>367</v>
      </c>
      <c r="Q63" s="22">
        <f t="shared" ca="1" si="16"/>
        <v>0.04</v>
      </c>
      <c r="R63" s="22">
        <f t="shared" ca="1" si="17"/>
        <v>0.05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0.1</v>
      </c>
      <c r="V63" s="22">
        <f t="shared" ca="1" si="21"/>
        <v>0.01</v>
      </c>
      <c r="W63" s="22"/>
      <c r="X63" s="25">
        <v>288</v>
      </c>
      <c r="Y63" s="26">
        <f t="shared" ca="1" si="12"/>
        <v>6.6666666666666666E-2</v>
      </c>
      <c r="Z63" s="26">
        <f t="shared" ca="1" si="13"/>
        <v>0.01</v>
      </c>
      <c r="AA63" s="27">
        <v>1</v>
      </c>
      <c r="AB63" s="27">
        <v>6.4699999999999994E-11</v>
      </c>
      <c r="AC63" s="22"/>
      <c r="AD63" s="6">
        <v>344</v>
      </c>
      <c r="AE63" s="38">
        <f t="shared" ca="1" si="14"/>
        <v>5.6666666666666671E-2</v>
      </c>
      <c r="AF63" s="39">
        <f t="shared" ca="1" si="15"/>
        <v>4.3333333333333335E-2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7</v>
      </c>
      <c r="K64" s="18">
        <v>5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0.05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0.1</v>
      </c>
      <c r="V64" s="22">
        <f t="shared" ca="1" si="21"/>
        <v>0.01</v>
      </c>
      <c r="W64" s="22"/>
      <c r="X64" s="25">
        <v>286</v>
      </c>
      <c r="Y64" s="26">
        <f t="shared" ca="1" si="12"/>
        <v>6.6666666666666666E-2</v>
      </c>
      <c r="Z64" s="26">
        <f t="shared" ca="1" si="13"/>
        <v>0.01</v>
      </c>
      <c r="AA64" s="27">
        <v>1</v>
      </c>
      <c r="AB64" s="27">
        <v>4.0600000000000001E-11</v>
      </c>
      <c r="AC64" s="22"/>
      <c r="AD64" s="6">
        <v>343</v>
      </c>
      <c r="AE64" s="38">
        <f t="shared" ca="1" si="14"/>
        <v>5.6666666666666671E-2</v>
      </c>
      <c r="AF64" s="39">
        <f t="shared" ca="1" si="15"/>
        <v>4.3333333333333335E-2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7</v>
      </c>
      <c r="K65" s="18">
        <v>5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0.05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0.1</v>
      </c>
      <c r="V65" s="22">
        <f t="shared" ca="1" si="21"/>
        <v>0.01</v>
      </c>
      <c r="W65" s="22"/>
      <c r="X65" s="25">
        <v>284</v>
      </c>
      <c r="Y65" s="26">
        <f t="shared" ca="1" si="12"/>
        <v>5.6666666666666664E-2</v>
      </c>
      <c r="Z65" s="26">
        <f t="shared" ca="1" si="13"/>
        <v>0.01</v>
      </c>
      <c r="AA65" s="27">
        <v>1</v>
      </c>
      <c r="AB65" s="27">
        <v>3.1400000000000003E-11</v>
      </c>
      <c r="AC65" s="22"/>
      <c r="AD65" s="6">
        <v>342</v>
      </c>
      <c r="AE65" s="38">
        <f t="shared" ca="1" si="14"/>
        <v>5.6666666666666671E-2</v>
      </c>
      <c r="AF65" s="39">
        <f t="shared" ca="1" si="15"/>
        <v>4.3333333333333335E-2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7</v>
      </c>
      <c r="K66" s="18">
        <v>5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0.05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0.1</v>
      </c>
      <c r="V66" s="22">
        <f t="shared" ca="1" si="21"/>
        <v>0.11</v>
      </c>
      <c r="W66" s="22"/>
      <c r="X66" s="25">
        <v>282</v>
      </c>
      <c r="Y66" s="26">
        <f t="shared" ca="1" si="12"/>
        <v>5.6666666666666664E-2</v>
      </c>
      <c r="Z66" s="26">
        <f t="shared" ca="1" si="13"/>
        <v>0.01</v>
      </c>
      <c r="AA66" s="27">
        <v>1</v>
      </c>
      <c r="AB66" s="27">
        <v>2.37E-11</v>
      </c>
      <c r="AC66" s="22"/>
      <c r="AD66" s="6">
        <v>341</v>
      </c>
      <c r="AE66" s="38">
        <f t="shared" ca="1" si="14"/>
        <v>5.6666666666666671E-2</v>
      </c>
      <c r="AF66" s="39">
        <f t="shared" ca="1" si="15"/>
        <v>4.3333333333333335E-2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7</v>
      </c>
      <c r="K67" s="18">
        <v>5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0.05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0.1</v>
      </c>
      <c r="V67" s="22">
        <f t="shared" ca="1" si="21"/>
        <v>0.11</v>
      </c>
      <c r="W67" s="22"/>
      <c r="X67" s="25">
        <v>280</v>
      </c>
      <c r="Y67" s="26">
        <f t="shared" ca="1" si="12"/>
        <v>5.3333333333333337E-2</v>
      </c>
      <c r="Z67" s="26">
        <f t="shared" ca="1" si="13"/>
        <v>2.4000000000000004E-2</v>
      </c>
      <c r="AA67" s="27">
        <v>1</v>
      </c>
      <c r="AB67" s="27">
        <v>4.1199999999999997E-11</v>
      </c>
      <c r="AC67" s="22"/>
      <c r="AD67" s="6">
        <v>340</v>
      </c>
      <c r="AE67" s="38">
        <f t="shared" ca="1" si="14"/>
        <v>5.6666666666666671E-2</v>
      </c>
      <c r="AF67" s="39">
        <f t="shared" ca="1" si="15"/>
        <v>4.3333333333333335E-2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7</v>
      </c>
      <c r="K68" s="18">
        <v>5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0.05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0.1</v>
      </c>
      <c r="V68" s="22">
        <f t="shared" ca="1" si="21"/>
        <v>0.11</v>
      </c>
      <c r="W68" s="22"/>
      <c r="X68" s="22" t="s">
        <v>31</v>
      </c>
      <c r="Y68" s="29">
        <f>SUMPRODUCT(AA7:AA67,AB7:AB67)</f>
        <v>1.0854396E-5</v>
      </c>
      <c r="Z68" s="29">
        <f>SUMPRODUCT(AA7:AA67,AB7:AB67)</f>
        <v>1.0854396E-5</v>
      </c>
      <c r="AA68" s="22"/>
      <c r="AB68" s="29"/>
      <c r="AC68" s="22"/>
      <c r="AD68" s="6">
        <v>339</v>
      </c>
      <c r="AE68" s="38">
        <f t="shared" ca="1" si="14"/>
        <v>5.6666666666666671E-2</v>
      </c>
      <c r="AF68" s="3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7</v>
      </c>
      <c r="K69" s="18">
        <v>5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0.05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0.1</v>
      </c>
      <c r="V69" s="22">
        <f t="shared" ca="1" si="21"/>
        <v>0.11</v>
      </c>
      <c r="W69" s="22"/>
      <c r="X69" s="22" t="s">
        <v>32</v>
      </c>
      <c r="Y69" s="29">
        <f ca="1">SUMPRODUCT(Y7:Y67,AA7:AA67,AB7:AB67)</f>
        <v>6.1444018000000006E-7</v>
      </c>
      <c r="Z69" s="29">
        <f ca="1">SUMPRODUCT(Z7:Z67,AA7:AA67,AB7:AB67)</f>
        <v>1.5009374746666664E-7</v>
      </c>
      <c r="AA69" s="22"/>
      <c r="AB69" s="29"/>
      <c r="AC69" s="22"/>
      <c r="AD69" s="6">
        <v>338</v>
      </c>
      <c r="AE69" s="38">
        <f t="shared" ca="1" si="14"/>
        <v>5.6666666666666671E-2</v>
      </c>
      <c r="AF69" s="3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7</v>
      </c>
      <c r="K70" s="18">
        <v>5</v>
      </c>
      <c r="L70" s="18">
        <v>5</v>
      </c>
      <c r="M70" s="18">
        <v>4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0.05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0.1</v>
      </c>
      <c r="V70" s="22">
        <f t="shared" ca="1" si="21"/>
        <v>0.11</v>
      </c>
      <c r="W70" s="22"/>
      <c r="X70" s="22" t="s">
        <v>34</v>
      </c>
      <c r="Y70" s="29">
        <f ca="1">Y68/Y69</f>
        <v>17.66550488283497</v>
      </c>
      <c r="Z70" s="29">
        <f t="shared" ref="Z70" ca="1" si="22">Z68/Z69</f>
        <v>72.317442819599023</v>
      </c>
      <c r="AA70" s="22"/>
      <c r="AB70" s="29"/>
      <c r="AC70" s="22"/>
      <c r="AD70" s="6">
        <v>337</v>
      </c>
      <c r="AE70" s="38">
        <f t="shared" ca="1" si="14"/>
        <v>5.6666666666666671E-2</v>
      </c>
      <c r="AF70" s="3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7</v>
      </c>
      <c r="K71" s="18">
        <v>5</v>
      </c>
      <c r="L71" s="18">
        <v>5</v>
      </c>
      <c r="M71" s="18">
        <v>4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0.05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0.1</v>
      </c>
      <c r="V71" s="22">
        <f t="shared" ca="1" si="21"/>
        <v>0.11</v>
      </c>
      <c r="W71" s="22"/>
      <c r="X71" s="22"/>
      <c r="Y71" s="22"/>
      <c r="Z71" s="22"/>
      <c r="AA71" s="22"/>
      <c r="AB71" s="22"/>
      <c r="AC71" s="22"/>
      <c r="AD71" s="6">
        <v>336</v>
      </c>
      <c r="AE71" s="38">
        <f t="shared" ca="1" si="14"/>
        <v>5.6666666666666671E-2</v>
      </c>
      <c r="AF71" s="39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7</v>
      </c>
      <c r="K72" s="18">
        <v>5</v>
      </c>
      <c r="L72" s="18">
        <v>5</v>
      </c>
      <c r="M72" s="18">
        <v>4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0.05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0.1</v>
      </c>
      <c r="V72" s="22">
        <f t="shared" ca="1" si="21"/>
        <v>0.11</v>
      </c>
      <c r="W72" s="22"/>
      <c r="X72" s="22"/>
      <c r="Y72" s="22"/>
      <c r="Z72" s="22"/>
      <c r="AA72" s="22"/>
      <c r="AB72" s="22"/>
      <c r="AC72" s="22"/>
      <c r="AD72" s="6">
        <v>335</v>
      </c>
      <c r="AE72" s="38">
        <f t="shared" ref="AE72:AE92" ca="1" si="23">AVERAGE(Q95:S95)</f>
        <v>5.6666666666666671E-2</v>
      </c>
      <c r="AF72" s="39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7</v>
      </c>
      <c r="K73" s="18">
        <v>5</v>
      </c>
      <c r="L73" s="18">
        <v>5</v>
      </c>
      <c r="M73" s="18">
        <v>4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0.05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0.1</v>
      </c>
      <c r="V73" s="22">
        <f t="shared" ca="1" si="21"/>
        <v>0.11</v>
      </c>
      <c r="W73" s="22"/>
      <c r="X73" s="22"/>
      <c r="Y73" s="22"/>
      <c r="Z73" s="22"/>
      <c r="AA73" s="22"/>
      <c r="AB73" s="22"/>
      <c r="AC73" s="22"/>
      <c r="AD73" s="6">
        <v>334</v>
      </c>
      <c r="AE73" s="38">
        <f t="shared" ca="1" si="23"/>
        <v>5.6666666666666671E-2</v>
      </c>
      <c r="AF73" s="39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7</v>
      </c>
      <c r="K74" s="18">
        <v>5</v>
      </c>
      <c r="L74" s="18">
        <v>5</v>
      </c>
      <c r="M74" s="18">
        <v>4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0.05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0.1</v>
      </c>
      <c r="V74" s="22">
        <f t="shared" ca="1" si="21"/>
        <v>0.11</v>
      </c>
      <c r="W74" s="22"/>
      <c r="X74" s="22"/>
      <c r="Y74" s="22"/>
      <c r="Z74" s="22"/>
      <c r="AA74" s="22"/>
      <c r="AB74" s="22"/>
      <c r="AC74" s="22"/>
      <c r="AD74" s="6">
        <v>333</v>
      </c>
      <c r="AE74" s="38">
        <f t="shared" ca="1" si="23"/>
        <v>5.6666666666666671E-2</v>
      </c>
      <c r="AF74" s="39">
        <f t="shared" ca="1" si="24"/>
        <v>0.02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7</v>
      </c>
      <c r="K75" s="18">
        <v>5</v>
      </c>
      <c r="L75" s="18">
        <v>5</v>
      </c>
      <c r="M75" s="18">
        <v>4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0.05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0.1</v>
      </c>
      <c r="V75" s="22">
        <f t="shared" ca="1" si="21"/>
        <v>0.11</v>
      </c>
      <c r="W75" s="22"/>
      <c r="X75" s="22"/>
      <c r="Y75" s="22"/>
      <c r="Z75" s="22"/>
      <c r="AA75" s="22"/>
      <c r="AB75" s="22"/>
      <c r="AC75" s="22"/>
      <c r="AD75" s="6">
        <v>332</v>
      </c>
      <c r="AE75" s="38">
        <f t="shared" ca="1" si="23"/>
        <v>5.6666666666666671E-2</v>
      </c>
      <c r="AF75" s="39">
        <f t="shared" ca="1" si="24"/>
        <v>0.02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7</v>
      </c>
      <c r="K76" s="18">
        <v>5</v>
      </c>
      <c r="L76" s="18">
        <v>5</v>
      </c>
      <c r="M76" s="18">
        <v>4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0.05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0.1</v>
      </c>
      <c r="V76" s="22">
        <f t="shared" ca="1" si="21"/>
        <v>0.11</v>
      </c>
      <c r="W76" s="22"/>
      <c r="X76" s="22"/>
      <c r="Y76" s="22"/>
      <c r="Z76" s="22"/>
      <c r="AA76" s="22"/>
      <c r="AB76" s="22"/>
      <c r="AC76" s="22"/>
      <c r="AD76" s="6">
        <v>331</v>
      </c>
      <c r="AE76" s="38">
        <f t="shared" ca="1" si="23"/>
        <v>5.6666666666666671E-2</v>
      </c>
      <c r="AF76" s="39">
        <f t="shared" ca="1" si="24"/>
        <v>0.02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7</v>
      </c>
      <c r="K77" s="18">
        <v>5</v>
      </c>
      <c r="L77" s="18">
        <v>5</v>
      </c>
      <c r="M77" s="18">
        <v>4</v>
      </c>
      <c r="N77" s="18">
        <v>1</v>
      </c>
      <c r="O77" s="18">
        <v>1</v>
      </c>
      <c r="P77" s="22">
        <v>353</v>
      </c>
      <c r="Q77" s="22">
        <f t="shared" ca="1" si="16"/>
        <v>7.0000000000000007E-2</v>
      </c>
      <c r="R77" s="22">
        <f t="shared" ca="1" si="17"/>
        <v>0.05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0.11</v>
      </c>
      <c r="W77" s="22"/>
      <c r="X77" s="22"/>
      <c r="Y77" s="22"/>
      <c r="Z77" s="22"/>
      <c r="AA77" s="22"/>
      <c r="AB77" s="22"/>
      <c r="AC77" s="22"/>
      <c r="AD77" s="6">
        <v>330</v>
      </c>
      <c r="AE77" s="38">
        <f t="shared" ca="1" si="23"/>
        <v>5.6666666666666671E-2</v>
      </c>
      <c r="AF77" s="39">
        <f t="shared" ca="1" si="24"/>
        <v>0.02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7</v>
      </c>
      <c r="K78" s="18">
        <v>5</v>
      </c>
      <c r="L78" s="18">
        <v>5</v>
      </c>
      <c r="M78" s="18">
        <v>4</v>
      </c>
      <c r="N78" s="18">
        <v>1</v>
      </c>
      <c r="O78" s="18">
        <v>1</v>
      </c>
      <c r="P78" s="22">
        <v>352</v>
      </c>
      <c r="Q78" s="22">
        <f t="shared" ca="1" si="16"/>
        <v>7.0000000000000007E-2</v>
      </c>
      <c r="R78" s="22">
        <f t="shared" ca="1" si="17"/>
        <v>0.05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0.11</v>
      </c>
      <c r="W78" s="22"/>
      <c r="X78" s="22"/>
      <c r="Y78" s="22"/>
      <c r="Z78" s="22"/>
      <c r="AA78" s="22"/>
      <c r="AB78" s="22"/>
      <c r="AC78" s="22"/>
      <c r="AD78" s="6">
        <v>329</v>
      </c>
      <c r="AE78" s="38">
        <f t="shared" ca="1" si="23"/>
        <v>5.6666666666666671E-2</v>
      </c>
      <c r="AF78" s="39">
        <f t="shared" ca="1" si="24"/>
        <v>0.02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7</v>
      </c>
      <c r="K79" s="18">
        <v>5</v>
      </c>
      <c r="L79" s="18">
        <v>5</v>
      </c>
      <c r="M79" s="18">
        <v>4</v>
      </c>
      <c r="N79" s="18">
        <v>1</v>
      </c>
      <c r="O79" s="18">
        <v>1</v>
      </c>
      <c r="P79" s="22">
        <v>351</v>
      </c>
      <c r="Q79" s="22">
        <f t="shared" ca="1" si="16"/>
        <v>7.0000000000000007E-2</v>
      </c>
      <c r="R79" s="22">
        <f t="shared" ca="1" si="17"/>
        <v>0.05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0.11</v>
      </c>
      <c r="W79" s="22"/>
      <c r="X79" s="22"/>
      <c r="Y79" s="22"/>
      <c r="Z79" s="22"/>
      <c r="AA79" s="22"/>
      <c r="AB79" s="22"/>
      <c r="AC79" s="22"/>
      <c r="AD79" s="6">
        <v>328</v>
      </c>
      <c r="AE79" s="38">
        <f t="shared" ca="1" si="23"/>
        <v>5.6666666666666671E-2</v>
      </c>
      <c r="AF79" s="39">
        <f t="shared" ca="1" si="24"/>
        <v>0.02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7</v>
      </c>
      <c r="K80" s="18">
        <v>5</v>
      </c>
      <c r="L80" s="18">
        <v>5</v>
      </c>
      <c r="M80" s="18">
        <v>4</v>
      </c>
      <c r="N80" s="18">
        <v>1</v>
      </c>
      <c r="O80" s="18">
        <v>1</v>
      </c>
      <c r="P80" s="22">
        <v>350</v>
      </c>
      <c r="Q80" s="22">
        <f t="shared" ca="1" si="16"/>
        <v>7.0000000000000007E-2</v>
      </c>
      <c r="R80" s="22">
        <f t="shared" ca="1" si="17"/>
        <v>0.05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0.11</v>
      </c>
      <c r="W80" s="22"/>
      <c r="X80" s="22"/>
      <c r="Y80" s="22"/>
      <c r="Z80" s="22"/>
      <c r="AA80" s="22"/>
      <c r="AB80" s="22"/>
      <c r="AC80" s="22"/>
      <c r="AD80" s="6">
        <v>327</v>
      </c>
      <c r="AE80" s="38">
        <f t="shared" ca="1" si="23"/>
        <v>5.6666666666666671E-2</v>
      </c>
      <c r="AF80" s="39">
        <f t="shared" ca="1" si="24"/>
        <v>0.02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7</v>
      </c>
      <c r="K81" s="18">
        <v>5</v>
      </c>
      <c r="L81" s="18">
        <v>5</v>
      </c>
      <c r="M81" s="18">
        <v>4</v>
      </c>
      <c r="N81" s="18">
        <v>1</v>
      </c>
      <c r="O81" s="18">
        <v>1</v>
      </c>
      <c r="P81" s="22">
        <v>349</v>
      </c>
      <c r="Q81" s="22">
        <f t="shared" ca="1" si="16"/>
        <v>7.0000000000000007E-2</v>
      </c>
      <c r="R81" s="22">
        <f t="shared" ca="1" si="17"/>
        <v>0.05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0.11</v>
      </c>
      <c r="W81" s="22"/>
      <c r="X81" s="22"/>
      <c r="Y81" s="22"/>
      <c r="Z81" s="22"/>
      <c r="AA81" s="22"/>
      <c r="AB81" s="22"/>
      <c r="AC81" s="22"/>
      <c r="AD81" s="6">
        <v>326</v>
      </c>
      <c r="AE81" s="38">
        <f t="shared" ca="1" si="23"/>
        <v>5.6666666666666671E-2</v>
      </c>
      <c r="AF81" s="39">
        <f t="shared" ca="1" si="24"/>
        <v>0.02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7</v>
      </c>
      <c r="K82" s="18">
        <v>5</v>
      </c>
      <c r="L82" s="18">
        <v>5</v>
      </c>
      <c r="M82" s="18">
        <v>4</v>
      </c>
      <c r="N82" s="18">
        <v>1</v>
      </c>
      <c r="O82" s="18">
        <v>1</v>
      </c>
      <c r="P82" s="22">
        <v>348</v>
      </c>
      <c r="Q82" s="22">
        <f t="shared" ca="1" si="16"/>
        <v>7.0000000000000007E-2</v>
      </c>
      <c r="R82" s="22">
        <f t="shared" ca="1" si="17"/>
        <v>0.05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0.11</v>
      </c>
      <c r="W82" s="22"/>
      <c r="X82" s="22"/>
      <c r="Y82" s="22"/>
      <c r="Z82" s="22"/>
      <c r="AA82" s="22"/>
      <c r="AB82" s="22"/>
      <c r="AC82" s="22"/>
      <c r="AD82" s="6">
        <v>325</v>
      </c>
      <c r="AE82" s="38">
        <f t="shared" ca="1" si="23"/>
        <v>5.6666666666666671E-2</v>
      </c>
      <c r="AF82" s="39">
        <f t="shared" ca="1" si="24"/>
        <v>0.02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7</v>
      </c>
      <c r="K83" s="18">
        <v>5</v>
      </c>
      <c r="L83" s="18">
        <v>5</v>
      </c>
      <c r="M83" s="18">
        <v>4</v>
      </c>
      <c r="N83" s="18">
        <v>1</v>
      </c>
      <c r="O83" s="18">
        <v>1</v>
      </c>
      <c r="P83" s="22">
        <v>347</v>
      </c>
      <c r="Q83" s="22">
        <f t="shared" ca="1" si="16"/>
        <v>7.0000000000000007E-2</v>
      </c>
      <c r="R83" s="22">
        <f t="shared" ca="1" si="17"/>
        <v>0.05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0.11</v>
      </c>
      <c r="W83" s="22"/>
      <c r="X83" s="22"/>
      <c r="Y83" s="22"/>
      <c r="Z83" s="22"/>
      <c r="AA83" s="22"/>
      <c r="AB83" s="22"/>
      <c r="AC83" s="22"/>
      <c r="AD83" s="6">
        <v>324</v>
      </c>
      <c r="AE83" s="38">
        <f t="shared" ca="1" si="23"/>
        <v>5.6666666666666671E-2</v>
      </c>
      <c r="AF83" s="39">
        <f t="shared" ca="1" si="24"/>
        <v>0.02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7</v>
      </c>
      <c r="K84" s="18">
        <v>5</v>
      </c>
      <c r="L84" s="18">
        <v>5</v>
      </c>
      <c r="M84" s="18">
        <v>4</v>
      </c>
      <c r="N84" s="18">
        <v>1</v>
      </c>
      <c r="O84" s="18">
        <v>1</v>
      </c>
      <c r="P84" s="22">
        <v>346</v>
      </c>
      <c r="Q84" s="22">
        <f t="shared" ca="1" si="16"/>
        <v>7.0000000000000007E-2</v>
      </c>
      <c r="R84" s="22">
        <f t="shared" ca="1" si="17"/>
        <v>0.05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0.11</v>
      </c>
      <c r="W84" s="22"/>
      <c r="X84" s="22"/>
      <c r="Y84" s="22"/>
      <c r="Z84" s="22"/>
      <c r="AA84" s="22"/>
      <c r="AB84" s="22"/>
      <c r="AC84" s="22"/>
      <c r="AD84" s="6">
        <v>323</v>
      </c>
      <c r="AE84" s="38">
        <f t="shared" ca="1" si="23"/>
        <v>5.6666666666666671E-2</v>
      </c>
      <c r="AF84" s="39">
        <f t="shared" ca="1" si="24"/>
        <v>0.02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7</v>
      </c>
      <c r="K85" s="18">
        <v>5</v>
      </c>
      <c r="L85" s="18">
        <v>5</v>
      </c>
      <c r="M85" s="18">
        <v>4</v>
      </c>
      <c r="N85" s="18">
        <v>1</v>
      </c>
      <c r="O85" s="18">
        <v>1</v>
      </c>
      <c r="P85" s="22">
        <v>345</v>
      </c>
      <c r="Q85" s="22">
        <f t="shared" ca="1" si="16"/>
        <v>7.0000000000000007E-2</v>
      </c>
      <c r="R85" s="22">
        <f t="shared" ca="1" si="17"/>
        <v>0.05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0.11</v>
      </c>
      <c r="W85" s="22"/>
      <c r="X85" s="22"/>
      <c r="Y85" s="22"/>
      <c r="Z85" s="22"/>
      <c r="AA85" s="22"/>
      <c r="AB85" s="22"/>
      <c r="AC85" s="22"/>
      <c r="AD85" s="6">
        <v>322</v>
      </c>
      <c r="AE85" s="38">
        <f t="shared" ca="1" si="23"/>
        <v>5.6666666666666671E-2</v>
      </c>
      <c r="AF85" s="39">
        <f t="shared" ca="1" si="24"/>
        <v>0.02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7</v>
      </c>
      <c r="K86" s="18">
        <v>5</v>
      </c>
      <c r="L86" s="18">
        <v>5</v>
      </c>
      <c r="M86" s="18">
        <v>4</v>
      </c>
      <c r="N86" s="18">
        <v>1</v>
      </c>
      <c r="O86" s="18">
        <v>1</v>
      </c>
      <c r="P86" s="22">
        <v>344</v>
      </c>
      <c r="Q86" s="22">
        <f t="shared" ca="1" si="16"/>
        <v>7.0000000000000007E-2</v>
      </c>
      <c r="R86" s="22">
        <f t="shared" ca="1" si="17"/>
        <v>0.05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0.11</v>
      </c>
      <c r="W86" s="22"/>
      <c r="X86" s="22"/>
      <c r="Y86" s="22"/>
      <c r="Z86" s="22"/>
      <c r="AA86" s="22"/>
      <c r="AB86" s="22"/>
      <c r="AC86" s="22"/>
      <c r="AD86" s="6">
        <v>321</v>
      </c>
      <c r="AE86" s="38">
        <f t="shared" ca="1" si="23"/>
        <v>5.6666666666666671E-2</v>
      </c>
      <c r="AF86" s="39">
        <f t="shared" ca="1" si="24"/>
        <v>0.02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7</v>
      </c>
      <c r="K87" s="18">
        <v>5</v>
      </c>
      <c r="L87" s="18">
        <v>5</v>
      </c>
      <c r="M87" s="18">
        <v>4</v>
      </c>
      <c r="N87" s="18">
        <v>1</v>
      </c>
      <c r="O87" s="18">
        <v>1</v>
      </c>
      <c r="P87" s="22">
        <v>343</v>
      </c>
      <c r="Q87" s="22">
        <f t="shared" ca="1" si="16"/>
        <v>7.0000000000000007E-2</v>
      </c>
      <c r="R87" s="22">
        <f t="shared" ca="1" si="17"/>
        <v>0.05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0.11</v>
      </c>
      <c r="W87" s="22"/>
      <c r="X87" s="22"/>
      <c r="Y87" s="22"/>
      <c r="Z87" s="22"/>
      <c r="AA87" s="22"/>
      <c r="AB87" s="22"/>
      <c r="AC87" s="22"/>
      <c r="AD87" s="6">
        <v>320</v>
      </c>
      <c r="AE87" s="38">
        <f t="shared" ca="1" si="23"/>
        <v>5.6666666666666671E-2</v>
      </c>
      <c r="AF87" s="39">
        <f t="shared" ca="1" si="24"/>
        <v>0.02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7</v>
      </c>
      <c r="K88" s="18">
        <v>5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7.0000000000000007E-2</v>
      </c>
      <c r="R88" s="22">
        <f t="shared" ca="1" si="17"/>
        <v>0.05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0.11</v>
      </c>
      <c r="W88" s="22"/>
      <c r="X88" s="22"/>
      <c r="Y88" s="22"/>
      <c r="Z88" s="22"/>
      <c r="AA88" s="22"/>
      <c r="AB88" s="22"/>
      <c r="AC88" s="22"/>
      <c r="AD88" s="6">
        <v>319</v>
      </c>
      <c r="AE88" s="38">
        <f t="shared" ca="1" si="23"/>
        <v>5.6666666666666671E-2</v>
      </c>
      <c r="AF88" s="39">
        <f t="shared" ca="1" si="24"/>
        <v>0.02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7</v>
      </c>
      <c r="K89" s="18">
        <v>5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7.0000000000000007E-2</v>
      </c>
      <c r="R89" s="22">
        <f t="shared" ca="1" si="17"/>
        <v>0.05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0.11</v>
      </c>
      <c r="W89" s="22"/>
      <c r="X89" s="22"/>
      <c r="Y89" s="22"/>
      <c r="Z89" s="22"/>
      <c r="AA89" s="22"/>
      <c r="AB89" s="22"/>
      <c r="AC89" s="22"/>
      <c r="AD89" s="6">
        <v>318</v>
      </c>
      <c r="AE89" s="38">
        <f t="shared" ca="1" si="23"/>
        <v>5.6666666666666671E-2</v>
      </c>
      <c r="AF89" s="39">
        <f t="shared" ca="1" si="24"/>
        <v>0.02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7</v>
      </c>
      <c r="K90" s="18">
        <v>5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7.0000000000000007E-2</v>
      </c>
      <c r="R90" s="22">
        <f t="shared" ca="1" si="17"/>
        <v>0.05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0.11</v>
      </c>
      <c r="W90" s="22"/>
      <c r="X90" s="22"/>
      <c r="Y90" s="22"/>
      <c r="Z90" s="22"/>
      <c r="AA90" s="22"/>
      <c r="AB90" s="22"/>
      <c r="AC90" s="22"/>
      <c r="AD90" s="6">
        <v>317</v>
      </c>
      <c r="AE90" s="38">
        <f t="shared" ca="1" si="23"/>
        <v>5.6666666666666671E-2</v>
      </c>
      <c r="AF90" s="39">
        <f t="shared" ca="1" si="24"/>
        <v>0.02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7</v>
      </c>
      <c r="K91" s="18">
        <v>5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7.0000000000000007E-2</v>
      </c>
      <c r="R91" s="22">
        <f t="shared" ca="1" si="17"/>
        <v>0.05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6">
        <v>316</v>
      </c>
      <c r="AE91" s="38">
        <f t="shared" ca="1" si="23"/>
        <v>5.6666666666666671E-2</v>
      </c>
      <c r="AF91" s="39">
        <f t="shared" ca="1" si="24"/>
        <v>0.02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7</v>
      </c>
      <c r="K92" s="18">
        <v>5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7.0000000000000007E-2</v>
      </c>
      <c r="R92" s="22">
        <f t="shared" ca="1" si="17"/>
        <v>0.05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6">
        <v>315</v>
      </c>
      <c r="AE92" s="38">
        <f t="shared" ca="1" si="23"/>
        <v>5.6666666666666671E-2</v>
      </c>
      <c r="AF92" s="39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7</v>
      </c>
      <c r="K93" s="18">
        <v>5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7.0000000000000007E-2</v>
      </c>
      <c r="R93" s="22">
        <f t="shared" ca="1" si="17"/>
        <v>0.05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40</v>
      </c>
      <c r="AE93" s="30">
        <f t="shared" ref="AE93:AF93" ca="1" si="25">SUM(AE7:AE92)</f>
        <v>4.49</v>
      </c>
      <c r="AF93" s="30">
        <f t="shared" ca="1" si="25"/>
        <v>2.5482142857142858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7</v>
      </c>
      <c r="K94" s="18">
        <v>5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7.0000000000000007E-2</v>
      </c>
      <c r="R94" s="22">
        <f t="shared" ca="1" si="17"/>
        <v>0.05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41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8.75" x14ac:dyDescent="0.3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7</v>
      </c>
      <c r="K95" s="18">
        <v>5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7.0000000000000007E-2</v>
      </c>
      <c r="R95" s="22">
        <f t="shared" ref="R95:R150" ca="1" si="27">IF(INDIRECT("K"&amp;ROW(R95)-27)/100&gt;0,INDIRECT("K"&amp;ROW(R95)-27)/100,0)</f>
        <v>0.05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13" t="s">
        <v>42</v>
      </c>
      <c r="AE95" s="31">
        <f t="shared" ref="AE95:AF95" ca="1" si="32">AE93/AE94</f>
        <v>5.2209302325581401E-2</v>
      </c>
      <c r="AF95" s="31">
        <f t="shared" ca="1" si="32"/>
        <v>2.9630398671096347E-2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7</v>
      </c>
      <c r="K96" s="18">
        <v>5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7.0000000000000007E-2</v>
      </c>
      <c r="R96" s="22">
        <f t="shared" ca="1" si="27"/>
        <v>0.05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7</v>
      </c>
      <c r="K97" s="18">
        <v>5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7.0000000000000007E-2</v>
      </c>
      <c r="R97" s="22">
        <f t="shared" ca="1" si="27"/>
        <v>0.05</v>
      </c>
      <c r="S97" s="22">
        <f t="shared" ca="1" si="28"/>
        <v>0.05</v>
      </c>
      <c r="T97" s="22">
        <f t="shared" ca="1" si="29"/>
        <v>0.04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15" t="s">
        <v>44</v>
      </c>
      <c r="AE97" s="6"/>
      <c r="AF97" s="6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7</v>
      </c>
      <c r="K98" s="18">
        <v>5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7.0000000000000007E-2</v>
      </c>
      <c r="R98" s="22">
        <f t="shared" ca="1" si="27"/>
        <v>0.05</v>
      </c>
      <c r="S98" s="22">
        <f t="shared" ca="1" si="28"/>
        <v>0.05</v>
      </c>
      <c r="T98" s="22">
        <f t="shared" ca="1" si="29"/>
        <v>0.04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6" t="s">
        <v>25</v>
      </c>
      <c r="AE98" s="6" t="s">
        <v>26</v>
      </c>
      <c r="AF98" s="6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7</v>
      </c>
      <c r="K99" s="18">
        <v>5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7.0000000000000007E-2</v>
      </c>
      <c r="R99" s="22">
        <f t="shared" ca="1" si="27"/>
        <v>0.05</v>
      </c>
      <c r="S99" s="22">
        <f t="shared" ca="1" si="28"/>
        <v>0.05</v>
      </c>
      <c r="T99" s="22">
        <f t="shared" ca="1" si="29"/>
        <v>0.04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6" t="s">
        <v>1</v>
      </c>
      <c r="AE99" s="6" t="s">
        <v>27</v>
      </c>
      <c r="AF99" s="6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7</v>
      </c>
      <c r="K100" s="18">
        <v>5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7.0000000000000007E-2</v>
      </c>
      <c r="R100" s="22">
        <f t="shared" ca="1" si="27"/>
        <v>0.05</v>
      </c>
      <c r="S100" s="22">
        <f t="shared" ca="1" si="28"/>
        <v>0.05</v>
      </c>
      <c r="T100" s="22">
        <f t="shared" ca="1" si="29"/>
        <v>0.04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40">
        <f ca="1">AVERAGE(Q115:S115)</f>
        <v>5.6666666666666671E-2</v>
      </c>
      <c r="AF100" s="40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7</v>
      </c>
      <c r="K101" s="18">
        <v>5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7.0000000000000007E-2</v>
      </c>
      <c r="R101" s="22">
        <f t="shared" ca="1" si="27"/>
        <v>0.05</v>
      </c>
      <c r="S101" s="22">
        <f t="shared" ca="1" si="28"/>
        <v>0.05</v>
      </c>
      <c r="T101" s="22">
        <f t="shared" ca="1" si="29"/>
        <v>0.04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40">
        <f t="shared" ref="AE101:AE135" ca="1" si="33">AVERAGE(Q116:S116)</f>
        <v>5.6666666666666671E-2</v>
      </c>
      <c r="AF101" s="40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7</v>
      </c>
      <c r="K102" s="18">
        <v>5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7.0000000000000007E-2</v>
      </c>
      <c r="R102" s="22">
        <f t="shared" ca="1" si="27"/>
        <v>0.05</v>
      </c>
      <c r="S102" s="22">
        <f t="shared" ca="1" si="28"/>
        <v>0.05</v>
      </c>
      <c r="T102" s="22">
        <f t="shared" ca="1" si="29"/>
        <v>0.04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40">
        <f t="shared" ca="1" si="33"/>
        <v>5.6666666666666671E-2</v>
      </c>
      <c r="AF102" s="40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7</v>
      </c>
      <c r="K103" s="18">
        <v>5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7.0000000000000007E-2</v>
      </c>
      <c r="R103" s="22">
        <f t="shared" ca="1" si="27"/>
        <v>0.05</v>
      </c>
      <c r="S103" s="22">
        <f t="shared" ca="1" si="28"/>
        <v>0.05</v>
      </c>
      <c r="T103" s="22">
        <f t="shared" ca="1" si="29"/>
        <v>0.04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40">
        <f t="shared" ca="1" si="33"/>
        <v>5.6666666666666671E-2</v>
      </c>
      <c r="AF103" s="40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7</v>
      </c>
      <c r="K104" s="18">
        <v>5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7.0000000000000007E-2</v>
      </c>
      <c r="R104" s="22">
        <f t="shared" ca="1" si="27"/>
        <v>0.05</v>
      </c>
      <c r="S104" s="22">
        <f t="shared" ca="1" si="28"/>
        <v>0.05</v>
      </c>
      <c r="T104" s="22">
        <f t="shared" ca="1" si="29"/>
        <v>0.04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40">
        <f t="shared" ca="1" si="33"/>
        <v>5.6666666666666671E-2</v>
      </c>
      <c r="AF104" s="40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7</v>
      </c>
      <c r="K105" s="18">
        <v>5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7.0000000000000007E-2</v>
      </c>
      <c r="R105" s="22">
        <f t="shared" ca="1" si="27"/>
        <v>0.05</v>
      </c>
      <c r="S105" s="22">
        <f t="shared" ca="1" si="28"/>
        <v>0.05</v>
      </c>
      <c r="T105" s="22">
        <f t="shared" ca="1" si="29"/>
        <v>0.04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40">
        <f t="shared" ca="1" si="33"/>
        <v>5.6666666666666671E-2</v>
      </c>
      <c r="AF105" s="40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7</v>
      </c>
      <c r="K106" s="18">
        <v>5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7.0000000000000007E-2</v>
      </c>
      <c r="R106" s="22">
        <f t="shared" ca="1" si="27"/>
        <v>0.05</v>
      </c>
      <c r="S106" s="22">
        <f t="shared" ca="1" si="28"/>
        <v>0.05</v>
      </c>
      <c r="T106" s="22">
        <f t="shared" ca="1" si="29"/>
        <v>0.04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40">
        <f t="shared" ca="1" si="33"/>
        <v>5.6666666666666671E-2</v>
      </c>
      <c r="AF106" s="40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7</v>
      </c>
      <c r="K107" s="18">
        <v>5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7.0000000000000007E-2</v>
      </c>
      <c r="R107" s="22">
        <f t="shared" ca="1" si="27"/>
        <v>0.05</v>
      </c>
      <c r="S107" s="22">
        <f t="shared" ca="1" si="28"/>
        <v>0.05</v>
      </c>
      <c r="T107" s="22">
        <f t="shared" ca="1" si="29"/>
        <v>0.04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40">
        <f t="shared" ca="1" si="33"/>
        <v>5.6666666666666671E-2</v>
      </c>
      <c r="AF107" s="40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7</v>
      </c>
      <c r="K108" s="18">
        <v>5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7.0000000000000007E-2</v>
      </c>
      <c r="R108" s="22">
        <f t="shared" ca="1" si="27"/>
        <v>0.05</v>
      </c>
      <c r="S108" s="22">
        <f t="shared" ca="1" si="28"/>
        <v>0.05</v>
      </c>
      <c r="T108" s="22">
        <f t="shared" ca="1" si="29"/>
        <v>0.04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40">
        <f t="shared" ca="1" si="33"/>
        <v>5.6666666666666671E-2</v>
      </c>
      <c r="AF108" s="40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7</v>
      </c>
      <c r="K109" s="18">
        <v>5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7.0000000000000007E-2</v>
      </c>
      <c r="R109" s="22">
        <f t="shared" ca="1" si="27"/>
        <v>0.05</v>
      </c>
      <c r="S109" s="22">
        <f t="shared" ca="1" si="28"/>
        <v>0.05</v>
      </c>
      <c r="T109" s="22">
        <f t="shared" ca="1" si="29"/>
        <v>0.04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40">
        <f t="shared" ca="1" si="33"/>
        <v>5.6666666666666671E-2</v>
      </c>
      <c r="AF109" s="40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7</v>
      </c>
      <c r="K110" s="18">
        <v>5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7.0000000000000007E-2</v>
      </c>
      <c r="R110" s="22">
        <f t="shared" ca="1" si="27"/>
        <v>0.05</v>
      </c>
      <c r="S110" s="22">
        <f t="shared" ca="1" si="28"/>
        <v>0.05</v>
      </c>
      <c r="T110" s="22">
        <f t="shared" ca="1" si="29"/>
        <v>0.04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40">
        <f t="shared" ca="1" si="33"/>
        <v>5.6666666666666671E-2</v>
      </c>
      <c r="AF110" s="40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7</v>
      </c>
      <c r="K111" s="18">
        <v>5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7.0000000000000007E-2</v>
      </c>
      <c r="R111" s="22">
        <f t="shared" ca="1" si="27"/>
        <v>0.05</v>
      </c>
      <c r="S111" s="22">
        <f t="shared" ca="1" si="28"/>
        <v>0.05</v>
      </c>
      <c r="T111" s="22">
        <f t="shared" ca="1" si="29"/>
        <v>0.04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40">
        <f t="shared" ca="1" si="33"/>
        <v>5.6666666666666671E-2</v>
      </c>
      <c r="AF111" s="40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7</v>
      </c>
      <c r="K112" s="18">
        <v>5</v>
      </c>
      <c r="L112" s="18">
        <v>8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7.0000000000000007E-2</v>
      </c>
      <c r="R112" s="22">
        <f t="shared" ca="1" si="27"/>
        <v>0.05</v>
      </c>
      <c r="S112" s="22">
        <f t="shared" ca="1" si="28"/>
        <v>0.05</v>
      </c>
      <c r="T112" s="22">
        <f t="shared" ca="1" si="29"/>
        <v>0.04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40">
        <f t="shared" ca="1" si="33"/>
        <v>5.6666666666666671E-2</v>
      </c>
      <c r="AF112" s="40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7</v>
      </c>
      <c r="K113" s="18">
        <v>5</v>
      </c>
      <c r="L113" s="18">
        <v>8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7.0000000000000007E-2</v>
      </c>
      <c r="R113" s="22">
        <f t="shared" ca="1" si="27"/>
        <v>0.05</v>
      </c>
      <c r="S113" s="22">
        <f t="shared" ca="1" si="28"/>
        <v>0.05</v>
      </c>
      <c r="T113" s="22">
        <f t="shared" ca="1" si="29"/>
        <v>0.04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40">
        <f t="shared" ca="1" si="33"/>
        <v>5.6666666666666671E-2</v>
      </c>
      <c r="AF113" s="40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7</v>
      </c>
      <c r="K114" s="18">
        <v>5</v>
      </c>
      <c r="L114" s="18">
        <v>8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7.0000000000000007E-2</v>
      </c>
      <c r="R114" s="22">
        <f t="shared" ca="1" si="27"/>
        <v>0.05</v>
      </c>
      <c r="S114" s="22">
        <f t="shared" ca="1" si="28"/>
        <v>0.05</v>
      </c>
      <c r="T114" s="22">
        <f t="shared" ca="1" si="29"/>
        <v>0.04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40">
        <f t="shared" ca="1" si="33"/>
        <v>5.6666666666666671E-2</v>
      </c>
      <c r="AF114" s="40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7</v>
      </c>
      <c r="K115" s="18">
        <v>5</v>
      </c>
      <c r="L115" s="18">
        <v>8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7.0000000000000007E-2</v>
      </c>
      <c r="R115" s="22">
        <f t="shared" ca="1" si="27"/>
        <v>0.05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40">
        <f t="shared" ca="1" si="33"/>
        <v>5.6666666666666671E-2</v>
      </c>
      <c r="AF115" s="40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7</v>
      </c>
      <c r="K116" s="18">
        <v>5</v>
      </c>
      <c r="L116" s="18">
        <v>8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7.0000000000000007E-2</v>
      </c>
      <c r="R116" s="22">
        <f t="shared" ca="1" si="27"/>
        <v>0.05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40">
        <f t="shared" ca="1" si="33"/>
        <v>5.6666666666666671E-2</v>
      </c>
      <c r="AF116" s="40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7</v>
      </c>
      <c r="K117" s="18">
        <v>5</v>
      </c>
      <c r="L117" s="18">
        <v>8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7.0000000000000007E-2</v>
      </c>
      <c r="R117" s="22">
        <f t="shared" ca="1" si="27"/>
        <v>0.05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40">
        <f t="shared" ca="1" si="33"/>
        <v>5.6666666666666671E-2</v>
      </c>
      <c r="AF117" s="40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7</v>
      </c>
      <c r="K118" s="18">
        <v>5</v>
      </c>
      <c r="L118" s="18">
        <v>8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7.0000000000000007E-2</v>
      </c>
      <c r="R118" s="22">
        <f t="shared" ca="1" si="27"/>
        <v>0.05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40">
        <f t="shared" ca="1" si="33"/>
        <v>5.6666666666666671E-2</v>
      </c>
      <c r="AF118" s="40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5</v>
      </c>
      <c r="L119" s="18">
        <v>8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7.0000000000000007E-2</v>
      </c>
      <c r="R119" s="22">
        <f t="shared" ca="1" si="27"/>
        <v>0.05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40">
        <f t="shared" ca="1" si="33"/>
        <v>5.6666666666666671E-2</v>
      </c>
      <c r="AF119" s="40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5</v>
      </c>
      <c r="L120" s="18">
        <v>8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7.0000000000000007E-2</v>
      </c>
      <c r="R120" s="22">
        <f t="shared" ca="1" si="27"/>
        <v>0.05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40">
        <f t="shared" ca="1" si="33"/>
        <v>5.6666666666666671E-2</v>
      </c>
      <c r="AF120" s="40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5</v>
      </c>
      <c r="L121" s="18">
        <v>8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7.0000000000000007E-2</v>
      </c>
      <c r="R121" s="22">
        <f t="shared" ca="1" si="27"/>
        <v>0.05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40">
        <f t="shared" ca="1" si="33"/>
        <v>5.6666666666666671E-2</v>
      </c>
      <c r="AF121" s="40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8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7.0000000000000007E-2</v>
      </c>
      <c r="R122" s="22">
        <f t="shared" ca="1" si="27"/>
        <v>0.05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40">
        <f t="shared" ca="1" si="33"/>
        <v>5.6666666666666671E-2</v>
      </c>
      <c r="AF122" s="40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8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7.0000000000000007E-2</v>
      </c>
      <c r="R123" s="22">
        <f t="shared" ca="1" si="27"/>
        <v>0.05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40">
        <f t="shared" ca="1" si="33"/>
        <v>5.6666666666666671E-2</v>
      </c>
      <c r="AF123" s="40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7.0000000000000007E-2</v>
      </c>
      <c r="R124" s="22">
        <f t="shared" ca="1" si="27"/>
        <v>0.05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40">
        <f t="shared" ca="1" si="33"/>
        <v>6.6666666666666666E-2</v>
      </c>
      <c r="AF124" s="40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7.0000000000000007E-2</v>
      </c>
      <c r="R125" s="22">
        <f t="shared" ca="1" si="27"/>
        <v>0.05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40">
        <f t="shared" ca="1" si="33"/>
        <v>6.6666666666666666E-2</v>
      </c>
      <c r="AF125" s="40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7.0000000000000007E-2</v>
      </c>
      <c r="R126" s="22">
        <f t="shared" ca="1" si="27"/>
        <v>0.05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40">
        <f t="shared" ca="1" si="33"/>
        <v>6.6666666666666666E-2</v>
      </c>
      <c r="AF126" s="40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7.0000000000000007E-2</v>
      </c>
      <c r="R127" s="22">
        <f t="shared" ca="1" si="27"/>
        <v>0.05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40">
        <f t="shared" ca="1" si="33"/>
        <v>6.6666666666666666E-2</v>
      </c>
      <c r="AF127" s="40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7.0000000000000007E-2</v>
      </c>
      <c r="R128" s="22">
        <f t="shared" ca="1" si="27"/>
        <v>0.05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40">
        <f t="shared" ca="1" si="33"/>
        <v>6.6666666666666666E-2</v>
      </c>
      <c r="AF128" s="40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7.0000000000000007E-2</v>
      </c>
      <c r="R129" s="22">
        <f t="shared" ca="1" si="27"/>
        <v>0.05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40">
        <f t="shared" ca="1" si="33"/>
        <v>6.6666666666666666E-2</v>
      </c>
      <c r="AF129" s="40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7.0000000000000007E-2</v>
      </c>
      <c r="R130" s="22">
        <f t="shared" ca="1" si="27"/>
        <v>0.05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40">
        <f t="shared" ca="1" si="33"/>
        <v>6.6666666666666666E-2</v>
      </c>
      <c r="AF130" s="40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7.0000000000000007E-2</v>
      </c>
      <c r="R131" s="22">
        <f t="shared" ca="1" si="27"/>
        <v>0.05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40">
        <f t="shared" ca="1" si="33"/>
        <v>5.6666666666666664E-2</v>
      </c>
      <c r="AF131" s="40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7.0000000000000007E-2</v>
      </c>
      <c r="R132" s="22">
        <f t="shared" ca="1" si="27"/>
        <v>0.05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40">
        <f t="shared" ca="1" si="33"/>
        <v>5.6666666666666664E-2</v>
      </c>
      <c r="AF132" s="40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7.0000000000000007E-2</v>
      </c>
      <c r="R133" s="22">
        <f t="shared" ca="1" si="27"/>
        <v>0.05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40">
        <f t="shared" ca="1" si="33"/>
        <v>5.6666666666666664E-2</v>
      </c>
      <c r="AF133" s="40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7.0000000000000007E-2</v>
      </c>
      <c r="R134" s="22">
        <f t="shared" ca="1" si="27"/>
        <v>0.05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40">
        <f t="shared" ca="1" si="33"/>
        <v>5.3333333333333337E-2</v>
      </c>
      <c r="AF134" s="40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7.0000000000000007E-2</v>
      </c>
      <c r="R135" s="22">
        <f t="shared" ca="1" si="27"/>
        <v>0.05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40">
        <f t="shared" ca="1" si="33"/>
        <v>5.3333333333333337E-2</v>
      </c>
      <c r="AF135" s="40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7.0000000000000007E-2</v>
      </c>
      <c r="R136" s="22">
        <f t="shared" ca="1" si="27"/>
        <v>0.05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40</v>
      </c>
      <c r="AE136" s="30">
        <f ca="1">SUM(AE100:AE135)</f>
        <v>2.1033333333333326</v>
      </c>
      <c r="AF136" s="30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7.0000000000000007E-2</v>
      </c>
      <c r="R137" s="22">
        <f t="shared" ca="1" si="27"/>
        <v>0.05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41</v>
      </c>
      <c r="AE137" s="32">
        <v>36</v>
      </c>
      <c r="AF137" s="3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8.75" x14ac:dyDescent="0.3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7.0000000000000007E-2</v>
      </c>
      <c r="R138" s="22">
        <f t="shared" ca="1" si="27"/>
        <v>0.05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13" t="s">
        <v>45</v>
      </c>
      <c r="AE138" s="31">
        <f ca="1">AE136/AE137</f>
        <v>5.8425925925925909E-2</v>
      </c>
      <c r="AF138" s="31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7.0000000000000007E-2</v>
      </c>
      <c r="R139" s="22">
        <f t="shared" ca="1" si="27"/>
        <v>0.05</v>
      </c>
      <c r="S139" s="22">
        <f t="shared" ca="1" si="28"/>
        <v>0.08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7.0000000000000007E-2</v>
      </c>
      <c r="R140" s="22">
        <f t="shared" ca="1" si="27"/>
        <v>0.05</v>
      </c>
      <c r="S140" s="22">
        <f t="shared" ca="1" si="28"/>
        <v>0.08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7.0000000000000007E-2</v>
      </c>
      <c r="R141" s="22">
        <f t="shared" ca="1" si="27"/>
        <v>0.05</v>
      </c>
      <c r="S141" s="22">
        <f t="shared" ca="1" si="28"/>
        <v>0.08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7.0000000000000007E-2</v>
      </c>
      <c r="R142" s="22">
        <f t="shared" ca="1" si="27"/>
        <v>0.05</v>
      </c>
      <c r="S142" s="22">
        <f t="shared" ca="1" si="28"/>
        <v>0.08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7.0000000000000007E-2</v>
      </c>
      <c r="R143" s="22">
        <f t="shared" ca="1" si="27"/>
        <v>0.05</v>
      </c>
      <c r="S143" s="22">
        <f t="shared" ca="1" si="28"/>
        <v>0.08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7.0000000000000007E-2</v>
      </c>
      <c r="R144" s="22">
        <f t="shared" ca="1" si="27"/>
        <v>0.05</v>
      </c>
      <c r="S144" s="22">
        <f t="shared" ca="1" si="28"/>
        <v>0.08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7.0000000000000007E-2</v>
      </c>
      <c r="R145" s="22">
        <f t="shared" ca="1" si="27"/>
        <v>0.05</v>
      </c>
      <c r="S145" s="22">
        <f t="shared" ca="1" si="28"/>
        <v>0.08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0.05</v>
      </c>
      <c r="S146" s="22">
        <f t="shared" ca="1" si="28"/>
        <v>0.08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0.05</v>
      </c>
      <c r="S147" s="22">
        <f t="shared" ca="1" si="28"/>
        <v>0.08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0.05</v>
      </c>
      <c r="S148" s="22">
        <f t="shared" ca="1" si="28"/>
        <v>0.08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0.08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0.08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2E3F-A184-4176-96B3-F6FAB120CD07}">
  <sheetPr codeName="Sheet5"/>
  <dimension ref="A1:AN150"/>
  <sheetViews>
    <sheetView topLeftCell="H1" workbookViewId="0">
      <selection activeCell="W1" sqref="W1:AO1048576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19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22</v>
      </c>
      <c r="Y2" s="6"/>
      <c r="Z2" s="6"/>
      <c r="AA2" s="6"/>
      <c r="AB2" s="24"/>
      <c r="AC2" s="24"/>
      <c r="AD2" s="6" t="s">
        <v>21</v>
      </c>
      <c r="AE2" s="13" t="s">
        <v>37</v>
      </c>
      <c r="AF2" s="7" t="s">
        <v>38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54</v>
      </c>
      <c r="Y3" s="9" t="s">
        <v>23</v>
      </c>
      <c r="Z3" s="12" t="s">
        <v>33</v>
      </c>
      <c r="AA3" s="22"/>
      <c r="AB3" s="6"/>
      <c r="AC3" s="6"/>
      <c r="AD3" s="22"/>
      <c r="AE3" s="22"/>
      <c r="AF3" s="8" t="s">
        <v>39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24</v>
      </c>
      <c r="AA4" s="22"/>
      <c r="AB4" s="6"/>
      <c r="AC4" s="6"/>
      <c r="AD4" s="14" t="s">
        <v>43</v>
      </c>
      <c r="AE4" s="6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23" t="s">
        <v>28</v>
      </c>
      <c r="AB5" s="23" t="s">
        <v>30</v>
      </c>
      <c r="AC5" s="6"/>
      <c r="AD5" s="6" t="s">
        <v>25</v>
      </c>
      <c r="AE5" s="6" t="s">
        <v>26</v>
      </c>
      <c r="AF5" s="6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23" t="s">
        <v>35</v>
      </c>
      <c r="AB6" s="23" t="s">
        <v>36</v>
      </c>
      <c r="AC6" s="6"/>
      <c r="AD6" s="6" t="s">
        <v>1</v>
      </c>
      <c r="AE6" s="6" t="s">
        <v>27</v>
      </c>
      <c r="AF6" s="6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7">
        <v>1.22E-4</v>
      </c>
      <c r="AB7" s="27">
        <v>1.01E-4</v>
      </c>
      <c r="AC7" s="22"/>
      <c r="AD7" s="6">
        <v>400</v>
      </c>
      <c r="AE7" s="38">
        <f ca="1">AVERAGE(Q30:S30)</f>
        <v>3.6666666666666667E-2</v>
      </c>
      <c r="AF7" s="39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7">
        <v>1.2999999999999999E-4</v>
      </c>
      <c r="AB8" s="27">
        <v>8.0099999999999995E-5</v>
      </c>
      <c r="AC8" s="22"/>
      <c r="AD8" s="6">
        <v>399</v>
      </c>
      <c r="AE8" s="38">
        <f t="shared" ref="AE8:AE71" ca="1" si="14">AVERAGE(Q31:S31)</f>
        <v>4.3333333333333335E-2</v>
      </c>
      <c r="AF8" s="39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7">
        <v>1.3999999999999999E-4</v>
      </c>
      <c r="AB9" s="27">
        <v>6.8100000000000002E-5</v>
      </c>
      <c r="AC9" s="22"/>
      <c r="AD9" s="6">
        <v>398</v>
      </c>
      <c r="AE9" s="38">
        <f t="shared" ca="1" si="14"/>
        <v>5.000000000000001E-2</v>
      </c>
      <c r="AF9" s="39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7">
        <v>1.4999999999999999E-4</v>
      </c>
      <c r="AB10" s="27">
        <v>6.5500000000000006E-5</v>
      </c>
      <c r="AC10" s="22"/>
      <c r="AD10" s="6">
        <v>397</v>
      </c>
      <c r="AE10" s="38">
        <f t="shared" ca="1" si="14"/>
        <v>4.3333333333333335E-2</v>
      </c>
      <c r="AF10" s="39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7">
        <v>1.6000000000000001E-4</v>
      </c>
      <c r="AB11" s="27">
        <v>7.1600000000000006E-5</v>
      </c>
      <c r="AC11" s="22"/>
      <c r="AD11" s="6">
        <v>396</v>
      </c>
      <c r="AE11" s="38">
        <f t="shared" ca="1" si="14"/>
        <v>4.3333333333333335E-2</v>
      </c>
      <c r="AF11" s="39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7">
        <v>1.7200000000000001E-4</v>
      </c>
      <c r="AB12" s="27">
        <v>7.5699999999999997E-5</v>
      </c>
      <c r="AC12" s="22"/>
      <c r="AD12" s="6">
        <v>395</v>
      </c>
      <c r="AE12" s="38">
        <f t="shared" ca="1" si="14"/>
        <v>4.3333333333333335E-2</v>
      </c>
      <c r="AF12" s="39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7">
        <v>1.84E-4</v>
      </c>
      <c r="AB13" s="27">
        <v>6.7199999999999994E-5</v>
      </c>
      <c r="AC13" s="22"/>
      <c r="AD13" s="6">
        <v>394</v>
      </c>
      <c r="AE13" s="38">
        <f t="shared" ca="1" si="14"/>
        <v>4.3333333333333335E-2</v>
      </c>
      <c r="AF13" s="39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7">
        <v>1.9699999999999999E-4</v>
      </c>
      <c r="AB14" s="27">
        <v>6.2600000000000004E-5</v>
      </c>
      <c r="AC14" s="22"/>
      <c r="AD14" s="6">
        <v>393</v>
      </c>
      <c r="AE14" s="38">
        <f t="shared" ca="1" si="14"/>
        <v>4.3333333333333335E-2</v>
      </c>
      <c r="AF14" s="39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7">
        <v>2.1100000000000001E-4</v>
      </c>
      <c r="AB15" s="27">
        <v>5.8499999999999999E-5</v>
      </c>
      <c r="AC15" s="22"/>
      <c r="AD15" s="6">
        <v>392</v>
      </c>
      <c r="AE15" s="38">
        <f t="shared" ca="1" si="14"/>
        <v>4.3333333333333335E-2</v>
      </c>
      <c r="AF15" s="39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7">
        <v>2.2599999999999999E-4</v>
      </c>
      <c r="AB16" s="27">
        <v>6.4200000000000002E-5</v>
      </c>
      <c r="AC16" s="22"/>
      <c r="AD16" s="6">
        <v>391</v>
      </c>
      <c r="AE16" s="38">
        <f t="shared" ca="1" si="14"/>
        <v>4.3333333333333335E-2</v>
      </c>
      <c r="AF16" s="39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7">
        <v>2.43E-4</v>
      </c>
      <c r="AB17" s="27">
        <v>7.5400000000000003E-5</v>
      </c>
      <c r="AC17" s="22"/>
      <c r="AD17" s="6">
        <v>390</v>
      </c>
      <c r="AE17" s="38">
        <f t="shared" ca="1" si="14"/>
        <v>4.3333333333333335E-2</v>
      </c>
      <c r="AF17" s="39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7">
        <v>2.5999999999999998E-4</v>
      </c>
      <c r="AB18" s="27">
        <v>7.4599999999999997E-5</v>
      </c>
      <c r="AC18" s="22"/>
      <c r="AD18" s="6">
        <v>389</v>
      </c>
      <c r="AE18" s="38">
        <f t="shared" ca="1" si="14"/>
        <v>4.3333333333333335E-2</v>
      </c>
      <c r="AF18" s="39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7">
        <v>2.7900000000000001E-4</v>
      </c>
      <c r="AB19" s="27">
        <v>6.6600000000000006E-5</v>
      </c>
      <c r="AC19" s="22"/>
      <c r="AD19" s="6">
        <v>388</v>
      </c>
      <c r="AE19" s="38">
        <f t="shared" ca="1" si="14"/>
        <v>4.3333333333333335E-2</v>
      </c>
      <c r="AF19" s="39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7">
        <v>2.99E-4</v>
      </c>
      <c r="AB20" s="27">
        <v>6.6099999999999994E-5</v>
      </c>
      <c r="AC20" s="22"/>
      <c r="AD20" s="6">
        <v>387</v>
      </c>
      <c r="AE20" s="38">
        <f t="shared" ca="1" si="14"/>
        <v>4.3333333333333335E-2</v>
      </c>
      <c r="AF20" s="39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7">
        <v>3.2000000000000003E-4</v>
      </c>
      <c r="AB21" s="27">
        <v>7.4999999999999993E-5</v>
      </c>
      <c r="AC21" s="22"/>
      <c r="AD21" s="6">
        <v>386</v>
      </c>
      <c r="AE21" s="38">
        <f t="shared" ca="1" si="14"/>
        <v>4.3333333333333335E-2</v>
      </c>
      <c r="AF21" s="39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7">
        <v>3.4299999999999999E-4</v>
      </c>
      <c r="AB22" s="27">
        <v>7.6600000000000005E-5</v>
      </c>
      <c r="AC22" s="22"/>
      <c r="AD22" s="6">
        <v>385</v>
      </c>
      <c r="AE22" s="38">
        <f t="shared" ca="1" si="14"/>
        <v>4.3333333333333335E-2</v>
      </c>
      <c r="AF22" s="39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7">
        <v>3.6699999999999998E-4</v>
      </c>
      <c r="AB23" s="27">
        <v>7.6199999999999995E-5</v>
      </c>
      <c r="AC23" s="22"/>
      <c r="AD23" s="6">
        <v>384</v>
      </c>
      <c r="AE23" s="38">
        <f t="shared" ca="1" si="14"/>
        <v>4.3333333333333335E-2</v>
      </c>
      <c r="AF23" s="39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7">
        <v>3.9399999999999998E-4</v>
      </c>
      <c r="AB24" s="27">
        <v>7.1799999999999997E-5</v>
      </c>
      <c r="AC24" s="22"/>
      <c r="AD24" s="6">
        <v>383</v>
      </c>
      <c r="AE24" s="38">
        <f t="shared" ca="1" si="14"/>
        <v>4.3333333333333335E-2</v>
      </c>
      <c r="AF24" s="39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7">
        <v>4.2200000000000001E-4</v>
      </c>
      <c r="AB25" s="27">
        <v>6.4800000000000003E-5</v>
      </c>
      <c r="AC25" s="22"/>
      <c r="AD25" s="6">
        <v>382</v>
      </c>
      <c r="AE25" s="38">
        <f t="shared" ca="1" si="14"/>
        <v>4.3333333333333335E-2</v>
      </c>
      <c r="AF25" s="39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7">
        <v>4.5199999999999998E-4</v>
      </c>
      <c r="AB26" s="27">
        <v>6.0000000000000002E-5</v>
      </c>
      <c r="AC26" s="22"/>
      <c r="AD26" s="6">
        <v>381</v>
      </c>
      <c r="AE26" s="38">
        <f t="shared" ca="1" si="14"/>
        <v>4.3333333333333335E-2</v>
      </c>
      <c r="AF26" s="39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7">
        <v>4.84E-4</v>
      </c>
      <c r="AB27" s="27">
        <v>5.6400000000000002E-5</v>
      </c>
      <c r="AC27" s="22"/>
      <c r="AD27" s="6">
        <v>380</v>
      </c>
      <c r="AE27" s="38">
        <f t="shared" ca="1" si="14"/>
        <v>4.3333333333333335E-2</v>
      </c>
      <c r="AF27" s="39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7">
        <v>5.1900000000000004E-4</v>
      </c>
      <c r="AB28" s="27">
        <v>5.38E-5</v>
      </c>
      <c r="AC28" s="22"/>
      <c r="AD28" s="6">
        <v>379</v>
      </c>
      <c r="AE28" s="38">
        <f t="shared" ca="1" si="14"/>
        <v>4.3333333333333335E-2</v>
      </c>
      <c r="AF28" s="39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7">
        <v>5.5599999999999996E-4</v>
      </c>
      <c r="AB29" s="27">
        <v>6.0600000000000003E-5</v>
      </c>
      <c r="AC29" s="22"/>
      <c r="AD29" s="6">
        <v>378</v>
      </c>
      <c r="AE29" s="38">
        <f t="shared" ca="1" si="14"/>
        <v>4.3333333333333335E-2</v>
      </c>
      <c r="AF29" s="39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7">
        <v>5.9599999999999996E-4</v>
      </c>
      <c r="AB30" s="27">
        <v>6.1299999999999999E-5</v>
      </c>
      <c r="AC30" s="22"/>
      <c r="AD30" s="6">
        <v>377</v>
      </c>
      <c r="AE30" s="38">
        <f t="shared" ca="1" si="14"/>
        <v>4.3333333333333335E-2</v>
      </c>
      <c r="AF30" s="39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7">
        <v>6.38E-4</v>
      </c>
      <c r="AB31" s="27">
        <v>5.8900000000000002E-5</v>
      </c>
      <c r="AC31" s="22"/>
      <c r="AD31" s="6">
        <v>376</v>
      </c>
      <c r="AE31" s="38">
        <f t="shared" ca="1" si="14"/>
        <v>4.3333333333333335E-2</v>
      </c>
      <c r="AF31" s="39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7">
        <v>6.8400000000000004E-4</v>
      </c>
      <c r="AB32" s="27">
        <v>5.5899999999999997E-5</v>
      </c>
      <c r="AC32" s="22"/>
      <c r="AD32" s="6">
        <v>375</v>
      </c>
      <c r="AE32" s="38">
        <f t="shared" ca="1" si="14"/>
        <v>4.3333333333333335E-2</v>
      </c>
      <c r="AF32" s="39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7">
        <v>7.3300000000000004E-4</v>
      </c>
      <c r="AB33" s="27">
        <v>5.3699999999999997E-5</v>
      </c>
      <c r="AC33" s="22"/>
      <c r="AD33" s="6">
        <v>374</v>
      </c>
      <c r="AE33" s="38">
        <f t="shared" ca="1" si="14"/>
        <v>4.3333333333333335E-2</v>
      </c>
      <c r="AF33" s="39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7">
        <v>7.85E-4</v>
      </c>
      <c r="AB34" s="27">
        <v>5.3399999999999997E-5</v>
      </c>
      <c r="AC34" s="22"/>
      <c r="AD34" s="6">
        <v>373</v>
      </c>
      <c r="AE34" s="38">
        <f t="shared" ca="1" si="14"/>
        <v>4.3333333333333335E-2</v>
      </c>
      <c r="AF34" s="39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7">
        <v>8.4099999999999995E-4</v>
      </c>
      <c r="AB35" s="27">
        <v>5.3499999999999999E-5</v>
      </c>
      <c r="AC35" s="22"/>
      <c r="AD35" s="6">
        <v>372</v>
      </c>
      <c r="AE35" s="38">
        <f t="shared" ca="1" si="14"/>
        <v>4.3333333333333335E-2</v>
      </c>
      <c r="AF35" s="39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7">
        <v>9.0200000000000002E-4</v>
      </c>
      <c r="AB36" s="27">
        <v>5.5899999999999997E-5</v>
      </c>
      <c r="AC36" s="22"/>
      <c r="AD36" s="6">
        <v>371</v>
      </c>
      <c r="AE36" s="38">
        <f t="shared" ca="1" si="14"/>
        <v>4.3333333333333335E-2</v>
      </c>
      <c r="AF36" s="39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7">
        <v>9.6599999999999995E-4</v>
      </c>
      <c r="AB37" s="27">
        <v>5.3900000000000002E-5</v>
      </c>
      <c r="AC37" s="22"/>
      <c r="AD37" s="6">
        <v>370</v>
      </c>
      <c r="AE37" s="38">
        <f t="shared" ca="1" si="14"/>
        <v>4.3333333333333335E-2</v>
      </c>
      <c r="AF37" s="39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7">
        <v>1.0399999999999999E-3</v>
      </c>
      <c r="AB38" s="27">
        <v>4.99E-5</v>
      </c>
      <c r="AC38" s="22"/>
      <c r="AD38" s="6">
        <v>369</v>
      </c>
      <c r="AE38" s="38">
        <f t="shared" ca="1" si="14"/>
        <v>4.3333333333333335E-2</v>
      </c>
      <c r="AF38" s="39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7">
        <v>1.1100000000000001E-3</v>
      </c>
      <c r="AB39" s="27">
        <v>5.0399999999999999E-5</v>
      </c>
      <c r="AC39" s="22"/>
      <c r="AD39" s="6">
        <v>368</v>
      </c>
      <c r="AE39" s="38">
        <f t="shared" ca="1" si="14"/>
        <v>0.21666666666666667</v>
      </c>
      <c r="AF39" s="39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7">
        <v>1.1900000000000001E-3</v>
      </c>
      <c r="AB40" s="27">
        <v>5.2299999999999997E-5</v>
      </c>
      <c r="AC40" s="22"/>
      <c r="AD40" s="6">
        <v>367</v>
      </c>
      <c r="AE40" s="38">
        <f t="shared" ca="1" si="14"/>
        <v>4.3333333333333335E-2</v>
      </c>
      <c r="AF40" s="39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7">
        <v>1.2700000000000001E-3</v>
      </c>
      <c r="AB41" s="27">
        <v>5.3300000000000001E-5</v>
      </c>
      <c r="AC41" s="22"/>
      <c r="AD41" s="6">
        <v>366</v>
      </c>
      <c r="AE41" s="38">
        <f t="shared" ca="1" si="14"/>
        <v>4.3333333333333335E-2</v>
      </c>
      <c r="AF41" s="39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7">
        <v>1.3600000000000001E-3</v>
      </c>
      <c r="AB42" s="27">
        <v>5.3199999999999999E-5</v>
      </c>
      <c r="AC42" s="22"/>
      <c r="AD42" s="6">
        <v>365</v>
      </c>
      <c r="AE42" s="38">
        <f t="shared" ca="1" si="14"/>
        <v>4.3333333333333335E-2</v>
      </c>
      <c r="AF42" s="39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7">
        <v>1.5100000000000001E-3</v>
      </c>
      <c r="AB43" s="27">
        <v>5.0099999999999998E-5</v>
      </c>
      <c r="AC43" s="22"/>
      <c r="AD43" s="6">
        <v>364</v>
      </c>
      <c r="AE43" s="38">
        <f t="shared" ca="1" si="14"/>
        <v>4.3333333333333335E-2</v>
      </c>
      <c r="AF43" s="39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7">
        <v>2.33E-3</v>
      </c>
      <c r="AB44" s="27">
        <v>4.4499999999999997E-5</v>
      </c>
      <c r="AC44" s="22"/>
      <c r="AD44" s="6">
        <v>363</v>
      </c>
      <c r="AE44" s="38">
        <f t="shared" ca="1" si="14"/>
        <v>4.3333333333333335E-2</v>
      </c>
      <c r="AF44" s="39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7">
        <v>3.5999999999999999E-3</v>
      </c>
      <c r="AB45" s="27">
        <v>3.6100000000000003E-5</v>
      </c>
      <c r="AC45" s="22"/>
      <c r="AD45" s="6">
        <v>362</v>
      </c>
      <c r="AE45" s="38">
        <f t="shared" ca="1" si="14"/>
        <v>4.3333333333333335E-2</v>
      </c>
      <c r="AF45" s="39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7">
        <v>5.5500000000000002E-3</v>
      </c>
      <c r="AB46" s="27">
        <v>3.3200000000000001E-5</v>
      </c>
      <c r="AC46" s="22"/>
      <c r="AD46" s="6">
        <v>361</v>
      </c>
      <c r="AE46" s="38">
        <f t="shared" ca="1" si="14"/>
        <v>4.3333333333333335E-2</v>
      </c>
      <c r="AF46" s="39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7">
        <v>8.5500000000000003E-3</v>
      </c>
      <c r="AB47" s="27">
        <v>3.1399999999999998E-5</v>
      </c>
      <c r="AC47" s="22"/>
      <c r="AD47" s="6">
        <v>360</v>
      </c>
      <c r="AE47" s="38">
        <f t="shared" ca="1" si="14"/>
        <v>4.3333333333333335E-2</v>
      </c>
      <c r="AF47" s="39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7">
        <v>1.32E-2</v>
      </c>
      <c r="AB48" s="27">
        <v>2.7900000000000001E-5</v>
      </c>
      <c r="AC48" s="22"/>
      <c r="AD48" s="6">
        <v>359</v>
      </c>
      <c r="AE48" s="38">
        <f t="shared" ca="1" si="14"/>
        <v>4.3333333333333335E-2</v>
      </c>
      <c r="AF48" s="39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7">
        <v>2.0299999999999999E-2</v>
      </c>
      <c r="AB49" s="27">
        <v>2.4300000000000001E-5</v>
      </c>
      <c r="AC49" s="22"/>
      <c r="AD49" s="6">
        <v>358</v>
      </c>
      <c r="AE49" s="38">
        <f t="shared" ca="1" si="14"/>
        <v>4.3333333333333335E-2</v>
      </c>
      <c r="AF49" s="39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7">
        <v>3.1300000000000001E-2</v>
      </c>
      <c r="AB50" s="27">
        <v>2.1299999999999999E-5</v>
      </c>
      <c r="AC50" s="22"/>
      <c r="AD50" s="6">
        <v>357</v>
      </c>
      <c r="AE50" s="38">
        <f t="shared" ca="1" si="14"/>
        <v>4.3333333333333335E-2</v>
      </c>
      <c r="AF50" s="39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7">
        <v>4.8300000000000003E-2</v>
      </c>
      <c r="AB51" s="27">
        <v>1.7499999999999998E-5</v>
      </c>
      <c r="AC51" s="22"/>
      <c r="AD51" s="6">
        <v>356</v>
      </c>
      <c r="AE51" s="38">
        <f t="shared" ca="1" si="14"/>
        <v>4.3333333333333335E-2</v>
      </c>
      <c r="AF51" s="39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7">
        <v>7.4499999999999997E-2</v>
      </c>
      <c r="AB52" s="27">
        <v>1.34E-5</v>
      </c>
      <c r="AC52" s="22"/>
      <c r="AD52" s="6">
        <v>355</v>
      </c>
      <c r="AE52" s="38">
        <f t="shared" ca="1" si="14"/>
        <v>4.3333333333333335E-2</v>
      </c>
      <c r="AF52" s="39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7">
        <v>0.115</v>
      </c>
      <c r="AB53" s="27">
        <v>9.6800000000000005E-6</v>
      </c>
      <c r="AC53" s="22"/>
      <c r="AD53" s="6">
        <v>354</v>
      </c>
      <c r="AE53" s="38">
        <f t="shared" ca="1" si="14"/>
        <v>4.3333333333333335E-2</v>
      </c>
      <c r="AF53" s="39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7">
        <v>0.17699999999999999</v>
      </c>
      <c r="AB54" s="27">
        <v>7.1899999999999998E-6</v>
      </c>
      <c r="AC54" s="22"/>
      <c r="AD54" s="6">
        <v>353</v>
      </c>
      <c r="AE54" s="38">
        <f t="shared" ca="1" si="14"/>
        <v>4.3333333333333335E-2</v>
      </c>
      <c r="AF54" s="39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7">
        <v>0.27300000000000002</v>
      </c>
      <c r="AB55" s="27">
        <v>4.3499999999999999E-6</v>
      </c>
      <c r="AC55" s="22"/>
      <c r="AD55" s="6">
        <v>352</v>
      </c>
      <c r="AE55" s="38">
        <f t="shared" ca="1" si="14"/>
        <v>4.3333333333333335E-2</v>
      </c>
      <c r="AF55" s="39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7">
        <v>0.42099999999999999</v>
      </c>
      <c r="AB56" s="27">
        <v>2.3599999999999999E-6</v>
      </c>
      <c r="AC56" s="22"/>
      <c r="AD56" s="6">
        <v>351</v>
      </c>
      <c r="AE56" s="38">
        <f t="shared" ca="1" si="14"/>
        <v>4.3333333333333335E-2</v>
      </c>
      <c r="AF56" s="39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7">
        <v>0.64900000000000002</v>
      </c>
      <c r="AB57" s="27">
        <v>8.6400000000000001E-7</v>
      </c>
      <c r="AC57" s="22"/>
      <c r="AD57" s="6">
        <v>350</v>
      </c>
      <c r="AE57" s="38">
        <f t="shared" ca="1" si="14"/>
        <v>4.3333333333333335E-2</v>
      </c>
      <c r="AF57" s="39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7">
        <v>1</v>
      </c>
      <c r="AB58" s="27">
        <v>3.3700000000000001E-7</v>
      </c>
      <c r="AC58" s="22"/>
      <c r="AD58" s="6">
        <v>349</v>
      </c>
      <c r="AE58" s="38">
        <f t="shared" ca="1" si="14"/>
        <v>4.3333333333333335E-2</v>
      </c>
      <c r="AF58" s="39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7">
        <v>1</v>
      </c>
      <c r="AB59" s="27">
        <v>1.2800000000000001E-7</v>
      </c>
      <c r="AC59" s="22"/>
      <c r="AD59" s="6">
        <v>348</v>
      </c>
      <c r="AE59" s="38">
        <f t="shared" ca="1" si="14"/>
        <v>4.3333333333333335E-2</v>
      </c>
      <c r="AF59" s="39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7">
        <v>1</v>
      </c>
      <c r="AB60" s="27">
        <v>2.92E-8</v>
      </c>
      <c r="AC60" s="22"/>
      <c r="AD60" s="6">
        <v>347</v>
      </c>
      <c r="AE60" s="38">
        <f t="shared" ca="1" si="14"/>
        <v>4.3333333333333335E-2</v>
      </c>
      <c r="AF60" s="39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7">
        <v>1</v>
      </c>
      <c r="AB61" s="27">
        <v>2.8499999999999999E-9</v>
      </c>
      <c r="AC61" s="22"/>
      <c r="AD61" s="6">
        <v>346</v>
      </c>
      <c r="AE61" s="38">
        <f t="shared" ca="1" si="14"/>
        <v>4.3333333333333335E-2</v>
      </c>
      <c r="AF61" s="39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7">
        <v>1</v>
      </c>
      <c r="AB62" s="27">
        <v>3.0900000000000002E-10</v>
      </c>
      <c r="AC62" s="22"/>
      <c r="AD62" s="6">
        <v>345</v>
      </c>
      <c r="AE62" s="38">
        <f t="shared" ca="1" si="14"/>
        <v>4.3333333333333335E-2</v>
      </c>
      <c r="AF62" s="39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7">
        <v>1</v>
      </c>
      <c r="AB63" s="27">
        <v>6.4699999999999994E-11</v>
      </c>
      <c r="AC63" s="22"/>
      <c r="AD63" s="6">
        <v>344</v>
      </c>
      <c r="AE63" s="38">
        <f t="shared" ca="1" si="14"/>
        <v>4.3333333333333335E-2</v>
      </c>
      <c r="AF63" s="39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7">
        <v>1</v>
      </c>
      <c r="AB64" s="27">
        <v>4.0600000000000001E-11</v>
      </c>
      <c r="AC64" s="22"/>
      <c r="AD64" s="6">
        <v>343</v>
      </c>
      <c r="AE64" s="38">
        <f t="shared" ca="1" si="14"/>
        <v>4.3333333333333335E-2</v>
      </c>
      <c r="AF64" s="39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7">
        <v>1</v>
      </c>
      <c r="AB65" s="27">
        <v>3.1400000000000003E-11</v>
      </c>
      <c r="AC65" s="22"/>
      <c r="AD65" s="6">
        <v>342</v>
      </c>
      <c r="AE65" s="38">
        <f t="shared" ca="1" si="14"/>
        <v>4.3333333333333335E-2</v>
      </c>
      <c r="AF65" s="39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7">
        <v>1</v>
      </c>
      <c r="AB66" s="27">
        <v>2.37E-11</v>
      </c>
      <c r="AC66" s="22"/>
      <c r="AD66" s="6">
        <v>341</v>
      </c>
      <c r="AE66" s="38">
        <f t="shared" ca="1" si="14"/>
        <v>4.3333333333333335E-2</v>
      </c>
      <c r="AF66" s="39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7">
        <v>1</v>
      </c>
      <c r="AB67" s="27">
        <v>4.1199999999999997E-11</v>
      </c>
      <c r="AC67" s="22"/>
      <c r="AD67" s="6">
        <v>340</v>
      </c>
      <c r="AE67" s="38">
        <f t="shared" ca="1" si="14"/>
        <v>4.3333333333333335E-2</v>
      </c>
      <c r="AF67" s="39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31</v>
      </c>
      <c r="Y68" s="29">
        <f>SUMPRODUCT(AA7:AA67,AB7:AB67)</f>
        <v>1.0854396E-5</v>
      </c>
      <c r="Z68" s="29">
        <f>SUMPRODUCT(AA7:AA67,AB7:AB67)</f>
        <v>1.0854396E-5</v>
      </c>
      <c r="AA68" s="22"/>
      <c r="AB68" s="29"/>
      <c r="AC68" s="22"/>
      <c r="AD68" s="6">
        <v>339</v>
      </c>
      <c r="AE68" s="38">
        <f t="shared" ca="1" si="14"/>
        <v>4.3333333333333335E-2</v>
      </c>
      <c r="AF68" s="3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32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2"/>
      <c r="AB69" s="29"/>
      <c r="AC69" s="22"/>
      <c r="AD69" s="6">
        <v>338</v>
      </c>
      <c r="AE69" s="38">
        <f t="shared" ca="1" si="14"/>
        <v>4.3333333333333335E-2</v>
      </c>
      <c r="AF69" s="3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34</v>
      </c>
      <c r="Y70" s="29">
        <f ca="1">Y68/Y69</f>
        <v>22.842138059815493</v>
      </c>
      <c r="Z70" s="29">
        <f t="shared" ref="Z70" ca="1" si="22">Z68/Z69</f>
        <v>100.21885383985033</v>
      </c>
      <c r="AA70" s="22"/>
      <c r="AB70" s="29"/>
      <c r="AC70" s="22"/>
      <c r="AD70" s="6">
        <v>337</v>
      </c>
      <c r="AE70" s="38">
        <f t="shared" ca="1" si="14"/>
        <v>4.3333333333333335E-2</v>
      </c>
      <c r="AF70" s="3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6">
        <v>336</v>
      </c>
      <c r="AE71" s="38">
        <f t="shared" ca="1" si="14"/>
        <v>4.3333333333333335E-2</v>
      </c>
      <c r="AF71" s="39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6">
        <v>335</v>
      </c>
      <c r="AE72" s="38">
        <f t="shared" ref="AE72:AE92" ca="1" si="23">AVERAGE(Q95:S95)</f>
        <v>4.3333333333333335E-2</v>
      </c>
      <c r="AF72" s="39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6">
        <v>334</v>
      </c>
      <c r="AE73" s="38">
        <f t="shared" ca="1" si="23"/>
        <v>4.3333333333333335E-2</v>
      </c>
      <c r="AF73" s="39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6">
        <v>333</v>
      </c>
      <c r="AE74" s="38">
        <f t="shared" ca="1" si="23"/>
        <v>4.3333333333333335E-2</v>
      </c>
      <c r="AF74" s="39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6">
        <v>332</v>
      </c>
      <c r="AE75" s="38">
        <f t="shared" ca="1" si="23"/>
        <v>4.3333333333333335E-2</v>
      </c>
      <c r="AF75" s="39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6">
        <v>331</v>
      </c>
      <c r="AE76" s="38">
        <f t="shared" ca="1" si="23"/>
        <v>4.3333333333333335E-2</v>
      </c>
      <c r="AF76" s="39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6">
        <v>330</v>
      </c>
      <c r="AE77" s="38">
        <f t="shared" ca="1" si="23"/>
        <v>4.3333333333333335E-2</v>
      </c>
      <c r="AF77" s="39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6">
        <v>329</v>
      </c>
      <c r="AE78" s="38">
        <f t="shared" ca="1" si="23"/>
        <v>4.3333333333333335E-2</v>
      </c>
      <c r="AF78" s="39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6">
        <v>328</v>
      </c>
      <c r="AE79" s="38">
        <f t="shared" ca="1" si="23"/>
        <v>4.3333333333333335E-2</v>
      </c>
      <c r="AF79" s="39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6">
        <v>327</v>
      </c>
      <c r="AE80" s="38">
        <f t="shared" ca="1" si="23"/>
        <v>4.3333333333333335E-2</v>
      </c>
      <c r="AF80" s="39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6">
        <v>326</v>
      </c>
      <c r="AE81" s="38">
        <f t="shared" ca="1" si="23"/>
        <v>4.3333333333333335E-2</v>
      </c>
      <c r="AF81" s="39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6">
        <v>325</v>
      </c>
      <c r="AE82" s="38">
        <f t="shared" ca="1" si="23"/>
        <v>4.3333333333333335E-2</v>
      </c>
      <c r="AF82" s="39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6">
        <v>324</v>
      </c>
      <c r="AE83" s="38">
        <f t="shared" ca="1" si="23"/>
        <v>4.3333333333333335E-2</v>
      </c>
      <c r="AF83" s="39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6">
        <v>323</v>
      </c>
      <c r="AE84" s="38">
        <f t="shared" ca="1" si="23"/>
        <v>4.3333333333333335E-2</v>
      </c>
      <c r="AF84" s="39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6">
        <v>322</v>
      </c>
      <c r="AE85" s="38">
        <f t="shared" ca="1" si="23"/>
        <v>4.3333333333333335E-2</v>
      </c>
      <c r="AF85" s="39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6">
        <v>321</v>
      </c>
      <c r="AE86" s="38">
        <f t="shared" ca="1" si="23"/>
        <v>4.3333333333333335E-2</v>
      </c>
      <c r="AF86" s="39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6">
        <v>320</v>
      </c>
      <c r="AE87" s="38">
        <f t="shared" ca="1" si="23"/>
        <v>4.3333333333333335E-2</v>
      </c>
      <c r="AF87" s="39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6">
        <v>319</v>
      </c>
      <c r="AE88" s="38">
        <f t="shared" ca="1" si="23"/>
        <v>4.3333333333333335E-2</v>
      </c>
      <c r="AF88" s="39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6">
        <v>318</v>
      </c>
      <c r="AE89" s="38">
        <f t="shared" ca="1" si="23"/>
        <v>4.3333333333333335E-2</v>
      </c>
      <c r="AF89" s="39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6">
        <v>317</v>
      </c>
      <c r="AE90" s="38">
        <f t="shared" ca="1" si="23"/>
        <v>4.3333333333333335E-2</v>
      </c>
      <c r="AF90" s="39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6">
        <v>316</v>
      </c>
      <c r="AE91" s="38">
        <f t="shared" ca="1" si="23"/>
        <v>4.3333333333333335E-2</v>
      </c>
      <c r="AF91" s="39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6">
        <v>315</v>
      </c>
      <c r="AE92" s="38">
        <f t="shared" ca="1" si="23"/>
        <v>4.3333333333333335E-2</v>
      </c>
      <c r="AF92" s="39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40</v>
      </c>
      <c r="AE93" s="30">
        <f t="shared" ref="AE93:AF93" ca="1" si="25">SUM(AE7:AE92)</f>
        <v>3.900000000000007</v>
      </c>
      <c r="AF93" s="30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41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8.75" x14ac:dyDescent="0.3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13" t="s">
        <v>42</v>
      </c>
      <c r="AE95" s="31">
        <f t="shared" ref="AE95:AF95" ca="1" si="32">AE93/AE94</f>
        <v>4.5348837209302405E-2</v>
      </c>
      <c r="AF95" s="31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15" t="s">
        <v>44</v>
      </c>
      <c r="AE97" s="6"/>
      <c r="AF97" s="6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6" t="s">
        <v>25</v>
      </c>
      <c r="AE98" s="6" t="s">
        <v>26</v>
      </c>
      <c r="AF98" s="6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6" t="s">
        <v>1</v>
      </c>
      <c r="AE99" s="6" t="s">
        <v>27</v>
      </c>
      <c r="AF99" s="6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40">
        <f ca="1">AVERAGE(Q115:S115)</f>
        <v>4.3333333333333335E-2</v>
      </c>
      <c r="AF100" s="40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40">
        <f t="shared" ref="AE101:AE135" ca="1" si="33">AVERAGE(Q116:S116)</f>
        <v>4.3333333333333335E-2</v>
      </c>
      <c r="AF101" s="40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40">
        <f t="shared" ca="1" si="33"/>
        <v>4.3333333333333335E-2</v>
      </c>
      <c r="AF102" s="40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40">
        <f t="shared" ca="1" si="33"/>
        <v>4.3333333333333335E-2</v>
      </c>
      <c r="AF103" s="40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40">
        <f t="shared" ca="1" si="33"/>
        <v>4.3333333333333335E-2</v>
      </c>
      <c r="AF104" s="40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40">
        <f t="shared" ca="1" si="33"/>
        <v>4.3333333333333335E-2</v>
      </c>
      <c r="AF105" s="40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40">
        <f t="shared" ca="1" si="33"/>
        <v>4.3333333333333335E-2</v>
      </c>
      <c r="AF106" s="40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40">
        <f t="shared" ca="1" si="33"/>
        <v>4.3333333333333335E-2</v>
      </c>
      <c r="AF107" s="40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40">
        <f t="shared" ca="1" si="33"/>
        <v>4.3333333333333335E-2</v>
      </c>
      <c r="AF108" s="40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40">
        <f t="shared" ca="1" si="33"/>
        <v>4.3333333333333335E-2</v>
      </c>
      <c r="AF109" s="40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40">
        <f t="shared" ca="1" si="33"/>
        <v>4.3333333333333335E-2</v>
      </c>
      <c r="AF110" s="40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40">
        <f t="shared" ca="1" si="33"/>
        <v>4.3333333333333335E-2</v>
      </c>
      <c r="AF111" s="40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40">
        <f t="shared" ca="1" si="33"/>
        <v>4.3333333333333335E-2</v>
      </c>
      <c r="AF112" s="40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40">
        <f t="shared" ca="1" si="33"/>
        <v>4.3333333333333335E-2</v>
      </c>
      <c r="AF113" s="40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40">
        <f t="shared" ca="1" si="33"/>
        <v>4.3333333333333335E-2</v>
      </c>
      <c r="AF114" s="40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40">
        <f t="shared" ca="1" si="33"/>
        <v>4.3333333333333335E-2</v>
      </c>
      <c r="AF115" s="40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40">
        <f t="shared" ca="1" si="33"/>
        <v>4.3333333333333335E-2</v>
      </c>
      <c r="AF116" s="40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40">
        <f t="shared" ca="1" si="33"/>
        <v>4.3333333333333335E-2</v>
      </c>
      <c r="AF117" s="40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40">
        <f t="shared" ca="1" si="33"/>
        <v>4.3333333333333335E-2</v>
      </c>
      <c r="AF118" s="40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40">
        <f t="shared" ca="1" si="33"/>
        <v>4.3333333333333335E-2</v>
      </c>
      <c r="AF119" s="40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40">
        <f t="shared" ca="1" si="33"/>
        <v>4.3333333333333335E-2</v>
      </c>
      <c r="AF120" s="40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40">
        <f t="shared" ca="1" si="33"/>
        <v>4.3333333333333335E-2</v>
      </c>
      <c r="AF121" s="40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40">
        <f t="shared" ca="1" si="33"/>
        <v>4.3333333333333335E-2</v>
      </c>
      <c r="AF122" s="40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40">
        <f t="shared" ca="1" si="33"/>
        <v>4.3333333333333335E-2</v>
      </c>
      <c r="AF123" s="40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40">
        <f t="shared" ca="1" si="33"/>
        <v>4.3333333333333335E-2</v>
      </c>
      <c r="AF124" s="40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40">
        <f t="shared" ca="1" si="33"/>
        <v>4.3333333333333335E-2</v>
      </c>
      <c r="AF125" s="40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40">
        <f t="shared" ca="1" si="33"/>
        <v>4.3333333333333335E-2</v>
      </c>
      <c r="AF126" s="40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40">
        <f t="shared" ca="1" si="33"/>
        <v>4.3333333333333335E-2</v>
      </c>
      <c r="AF127" s="40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40">
        <f t="shared" ca="1" si="33"/>
        <v>4.3333333333333335E-2</v>
      </c>
      <c r="AF128" s="40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40">
        <f t="shared" ca="1" si="33"/>
        <v>4.3333333333333335E-2</v>
      </c>
      <c r="AF129" s="40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40">
        <f t="shared" ca="1" si="33"/>
        <v>4.3333333333333335E-2</v>
      </c>
      <c r="AF130" s="40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40">
        <f t="shared" ca="1" si="33"/>
        <v>4.3333333333333335E-2</v>
      </c>
      <c r="AF131" s="40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40">
        <f t="shared" ca="1" si="33"/>
        <v>4.3333333333333335E-2</v>
      </c>
      <c r="AF132" s="40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40">
        <f t="shared" ca="1" si="33"/>
        <v>4.3333333333333335E-2</v>
      </c>
      <c r="AF133" s="40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40">
        <f t="shared" ca="1" si="33"/>
        <v>4.3333333333333335E-2</v>
      </c>
      <c r="AF134" s="40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40">
        <f t="shared" ca="1" si="33"/>
        <v>4.3333333333333335E-2</v>
      </c>
      <c r="AF135" s="40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40</v>
      </c>
      <c r="AE136" s="30">
        <f ca="1">SUM(AE100:AE135)</f>
        <v>1.5600000000000014</v>
      </c>
      <c r="AF136" s="30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41</v>
      </c>
      <c r="AE137" s="32">
        <v>36</v>
      </c>
      <c r="AF137" s="3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8.75" x14ac:dyDescent="0.3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13" t="s">
        <v>45</v>
      </c>
      <c r="AE138" s="31">
        <f ca="1">AE136/AE137</f>
        <v>4.333333333333337E-2</v>
      </c>
      <c r="AF138" s="31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EE01C-3FC6-402C-8B95-BF387E30302C}">
  <sheetPr codeName="Sheet6"/>
  <dimension ref="A1:AN150"/>
  <sheetViews>
    <sheetView topLeftCell="H1" workbookViewId="0">
      <selection activeCell="AC79" sqref="AC79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121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122</v>
      </c>
      <c r="Y2" s="6"/>
      <c r="Z2" s="6"/>
      <c r="AA2" s="6"/>
      <c r="AB2" s="6"/>
      <c r="AC2" s="6"/>
      <c r="AD2" s="6" t="s">
        <v>21</v>
      </c>
      <c r="AE2" s="6" t="s">
        <v>37</v>
      </c>
      <c r="AF2" s="24" t="s">
        <v>123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21</v>
      </c>
      <c r="Y3" s="9" t="s">
        <v>124</v>
      </c>
      <c r="Z3" s="12" t="s">
        <v>125</v>
      </c>
      <c r="AA3" s="9"/>
      <c r="AB3" s="9"/>
      <c r="AC3" s="9"/>
      <c r="AD3" s="9"/>
      <c r="AE3" s="22"/>
      <c r="AF3" s="6" t="s">
        <v>126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127</v>
      </c>
      <c r="AA4" s="6"/>
      <c r="AB4" s="6"/>
      <c r="AC4" s="6"/>
      <c r="AD4" s="6" t="s">
        <v>128</v>
      </c>
      <c r="AE4" s="22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6" t="s">
        <v>129</v>
      </c>
      <c r="AB5" s="6" t="s">
        <v>130</v>
      </c>
      <c r="AC5" s="6"/>
      <c r="AD5" s="6" t="s">
        <v>25</v>
      </c>
      <c r="AE5" s="23" t="s">
        <v>26</v>
      </c>
      <c r="AF5" s="23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6" t="s">
        <v>131</v>
      </c>
      <c r="AB6" s="6" t="s">
        <v>132</v>
      </c>
      <c r="AC6" s="6"/>
      <c r="AD6" s="6" t="s">
        <v>1</v>
      </c>
      <c r="AE6" s="23" t="s">
        <v>27</v>
      </c>
      <c r="AF6" s="23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6">
        <v>1.22E-4</v>
      </c>
      <c r="AB7" s="26">
        <v>1.01E-4</v>
      </c>
      <c r="AC7" s="26"/>
      <c r="AD7" s="25">
        <v>400</v>
      </c>
      <c r="AE7" s="27">
        <f ca="1">AVERAGE(Q30:S30)</f>
        <v>3.6666666666666667E-2</v>
      </c>
      <c r="AF7" s="27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6">
        <v>1.2999999999999999E-4</v>
      </c>
      <c r="AB8" s="26">
        <v>8.0099999999999995E-5</v>
      </c>
      <c r="AC8" s="26"/>
      <c r="AD8" s="25">
        <v>399</v>
      </c>
      <c r="AE8" s="27">
        <f t="shared" ref="AE8:AE71" ca="1" si="14">AVERAGE(Q31:S31)</f>
        <v>4.3333333333333335E-2</v>
      </c>
      <c r="AF8" s="27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6">
        <v>1.3999999999999999E-4</v>
      </c>
      <c r="AB9" s="26">
        <v>6.8100000000000002E-5</v>
      </c>
      <c r="AC9" s="26"/>
      <c r="AD9" s="25">
        <v>398</v>
      </c>
      <c r="AE9" s="27">
        <f t="shared" ca="1" si="14"/>
        <v>5.000000000000001E-2</v>
      </c>
      <c r="AF9" s="27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6">
        <v>1.4999999999999999E-4</v>
      </c>
      <c r="AB10" s="26">
        <v>6.5500000000000006E-5</v>
      </c>
      <c r="AC10" s="26"/>
      <c r="AD10" s="25">
        <v>397</v>
      </c>
      <c r="AE10" s="27">
        <f t="shared" ca="1" si="14"/>
        <v>4.3333333333333335E-2</v>
      </c>
      <c r="AF10" s="27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6">
        <v>1.6000000000000001E-4</v>
      </c>
      <c r="AB11" s="26">
        <v>7.1600000000000006E-5</v>
      </c>
      <c r="AC11" s="26"/>
      <c r="AD11" s="25">
        <v>396</v>
      </c>
      <c r="AE11" s="27">
        <f t="shared" ca="1" si="14"/>
        <v>4.3333333333333335E-2</v>
      </c>
      <c r="AF11" s="27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6">
        <v>1.7200000000000001E-4</v>
      </c>
      <c r="AB12" s="26">
        <v>7.5699999999999997E-5</v>
      </c>
      <c r="AC12" s="26"/>
      <c r="AD12" s="25">
        <v>395</v>
      </c>
      <c r="AE12" s="27">
        <f t="shared" ca="1" si="14"/>
        <v>4.3333333333333335E-2</v>
      </c>
      <c r="AF12" s="27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6">
        <v>1.84E-4</v>
      </c>
      <c r="AB13" s="26">
        <v>6.7199999999999994E-5</v>
      </c>
      <c r="AC13" s="26"/>
      <c r="AD13" s="25">
        <v>394</v>
      </c>
      <c r="AE13" s="27">
        <f t="shared" ca="1" si="14"/>
        <v>4.3333333333333335E-2</v>
      </c>
      <c r="AF13" s="27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6">
        <v>1.9699999999999999E-4</v>
      </c>
      <c r="AB14" s="26">
        <v>6.2600000000000004E-5</v>
      </c>
      <c r="AC14" s="26"/>
      <c r="AD14" s="25">
        <v>393</v>
      </c>
      <c r="AE14" s="27">
        <f t="shared" ca="1" si="14"/>
        <v>4.3333333333333335E-2</v>
      </c>
      <c r="AF14" s="27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6">
        <v>2.1100000000000001E-4</v>
      </c>
      <c r="AB15" s="26">
        <v>5.8499999999999999E-5</v>
      </c>
      <c r="AC15" s="26"/>
      <c r="AD15" s="25">
        <v>392</v>
      </c>
      <c r="AE15" s="27">
        <f t="shared" ca="1" si="14"/>
        <v>4.3333333333333335E-2</v>
      </c>
      <c r="AF15" s="27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6">
        <v>2.2599999999999999E-4</v>
      </c>
      <c r="AB16" s="26">
        <v>6.4200000000000002E-5</v>
      </c>
      <c r="AC16" s="26"/>
      <c r="AD16" s="25">
        <v>391</v>
      </c>
      <c r="AE16" s="27">
        <f t="shared" ca="1" si="14"/>
        <v>4.3333333333333335E-2</v>
      </c>
      <c r="AF16" s="27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6">
        <v>2.43E-4</v>
      </c>
      <c r="AB17" s="26">
        <v>7.5400000000000003E-5</v>
      </c>
      <c r="AC17" s="26"/>
      <c r="AD17" s="25">
        <v>390</v>
      </c>
      <c r="AE17" s="27">
        <f t="shared" ca="1" si="14"/>
        <v>4.3333333333333335E-2</v>
      </c>
      <c r="AF17" s="27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6">
        <v>2.5999999999999998E-4</v>
      </c>
      <c r="AB18" s="26">
        <v>7.4599999999999997E-5</v>
      </c>
      <c r="AC18" s="26"/>
      <c r="AD18" s="25">
        <v>389</v>
      </c>
      <c r="AE18" s="27">
        <f t="shared" ca="1" si="14"/>
        <v>4.3333333333333335E-2</v>
      </c>
      <c r="AF18" s="27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6">
        <v>2.7900000000000001E-4</v>
      </c>
      <c r="AB19" s="26">
        <v>6.6600000000000006E-5</v>
      </c>
      <c r="AC19" s="26"/>
      <c r="AD19" s="25">
        <v>388</v>
      </c>
      <c r="AE19" s="27">
        <f t="shared" ca="1" si="14"/>
        <v>4.3333333333333335E-2</v>
      </c>
      <c r="AF19" s="27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6">
        <v>2.99E-4</v>
      </c>
      <c r="AB20" s="26">
        <v>6.6099999999999994E-5</v>
      </c>
      <c r="AC20" s="26"/>
      <c r="AD20" s="25">
        <v>387</v>
      </c>
      <c r="AE20" s="27">
        <f t="shared" ca="1" si="14"/>
        <v>4.3333333333333335E-2</v>
      </c>
      <c r="AF20" s="27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6">
        <v>3.2000000000000003E-4</v>
      </c>
      <c r="AB21" s="26">
        <v>7.4999999999999993E-5</v>
      </c>
      <c r="AC21" s="26"/>
      <c r="AD21" s="25">
        <v>386</v>
      </c>
      <c r="AE21" s="27">
        <f t="shared" ca="1" si="14"/>
        <v>4.3333333333333335E-2</v>
      </c>
      <c r="AF21" s="27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6">
        <v>3.4299999999999999E-4</v>
      </c>
      <c r="AB22" s="26">
        <v>7.6600000000000005E-5</v>
      </c>
      <c r="AC22" s="26"/>
      <c r="AD22" s="25">
        <v>385</v>
      </c>
      <c r="AE22" s="27">
        <f t="shared" ca="1" si="14"/>
        <v>4.3333333333333335E-2</v>
      </c>
      <c r="AF22" s="27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6">
        <v>3.6699999999999998E-4</v>
      </c>
      <c r="AB23" s="26">
        <v>7.6199999999999995E-5</v>
      </c>
      <c r="AC23" s="26"/>
      <c r="AD23" s="25">
        <v>384</v>
      </c>
      <c r="AE23" s="27">
        <f t="shared" ca="1" si="14"/>
        <v>4.3333333333333335E-2</v>
      </c>
      <c r="AF23" s="27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6">
        <v>3.9399999999999998E-4</v>
      </c>
      <c r="AB24" s="26">
        <v>7.1799999999999997E-5</v>
      </c>
      <c r="AC24" s="26"/>
      <c r="AD24" s="25">
        <v>383</v>
      </c>
      <c r="AE24" s="27">
        <f t="shared" ca="1" si="14"/>
        <v>4.3333333333333335E-2</v>
      </c>
      <c r="AF24" s="27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6">
        <v>4.2200000000000001E-4</v>
      </c>
      <c r="AB25" s="26">
        <v>6.4800000000000003E-5</v>
      </c>
      <c r="AC25" s="26"/>
      <c r="AD25" s="25">
        <v>382</v>
      </c>
      <c r="AE25" s="27">
        <f t="shared" ca="1" si="14"/>
        <v>4.3333333333333335E-2</v>
      </c>
      <c r="AF25" s="27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6">
        <v>4.5199999999999998E-4</v>
      </c>
      <c r="AB26" s="26">
        <v>6.0000000000000002E-5</v>
      </c>
      <c r="AC26" s="26"/>
      <c r="AD26" s="25">
        <v>381</v>
      </c>
      <c r="AE26" s="27">
        <f t="shared" ca="1" si="14"/>
        <v>4.3333333333333335E-2</v>
      </c>
      <c r="AF26" s="27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6">
        <v>4.84E-4</v>
      </c>
      <c r="AB27" s="26">
        <v>5.6400000000000002E-5</v>
      </c>
      <c r="AC27" s="26"/>
      <c r="AD27" s="25">
        <v>380</v>
      </c>
      <c r="AE27" s="27">
        <f t="shared" ca="1" si="14"/>
        <v>4.3333333333333335E-2</v>
      </c>
      <c r="AF27" s="27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6">
        <v>5.1900000000000004E-4</v>
      </c>
      <c r="AB28" s="26">
        <v>5.38E-5</v>
      </c>
      <c r="AC28" s="26"/>
      <c r="AD28" s="25">
        <v>379</v>
      </c>
      <c r="AE28" s="27">
        <f t="shared" ca="1" si="14"/>
        <v>4.3333333333333335E-2</v>
      </c>
      <c r="AF28" s="27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6">
        <v>5.5599999999999996E-4</v>
      </c>
      <c r="AB29" s="26">
        <v>6.0600000000000003E-5</v>
      </c>
      <c r="AC29" s="26"/>
      <c r="AD29" s="25">
        <v>378</v>
      </c>
      <c r="AE29" s="27">
        <f t="shared" ca="1" si="14"/>
        <v>4.3333333333333335E-2</v>
      </c>
      <c r="AF29" s="27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6">
        <v>5.9599999999999996E-4</v>
      </c>
      <c r="AB30" s="26">
        <v>6.1299999999999999E-5</v>
      </c>
      <c r="AC30" s="26"/>
      <c r="AD30" s="25">
        <v>377</v>
      </c>
      <c r="AE30" s="27">
        <f t="shared" ca="1" si="14"/>
        <v>4.3333333333333335E-2</v>
      </c>
      <c r="AF30" s="27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6">
        <v>6.38E-4</v>
      </c>
      <c r="AB31" s="26">
        <v>5.8900000000000002E-5</v>
      </c>
      <c r="AC31" s="26"/>
      <c r="AD31" s="25">
        <v>376</v>
      </c>
      <c r="AE31" s="27">
        <f t="shared" ca="1" si="14"/>
        <v>4.3333333333333335E-2</v>
      </c>
      <c r="AF31" s="27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6">
        <v>6.8400000000000004E-4</v>
      </c>
      <c r="AB32" s="26">
        <v>5.5899999999999997E-5</v>
      </c>
      <c r="AC32" s="26"/>
      <c r="AD32" s="25">
        <v>375</v>
      </c>
      <c r="AE32" s="27">
        <f t="shared" ca="1" si="14"/>
        <v>4.3333333333333335E-2</v>
      </c>
      <c r="AF32" s="27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6">
        <v>7.3300000000000004E-4</v>
      </c>
      <c r="AB33" s="26">
        <v>5.3699999999999997E-5</v>
      </c>
      <c r="AC33" s="26"/>
      <c r="AD33" s="25">
        <v>374</v>
      </c>
      <c r="AE33" s="27">
        <f t="shared" ca="1" si="14"/>
        <v>4.3333333333333335E-2</v>
      </c>
      <c r="AF33" s="27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6">
        <v>7.85E-4</v>
      </c>
      <c r="AB34" s="26">
        <v>5.3399999999999997E-5</v>
      </c>
      <c r="AC34" s="26"/>
      <c r="AD34" s="25">
        <v>373</v>
      </c>
      <c r="AE34" s="27">
        <f t="shared" ca="1" si="14"/>
        <v>4.3333333333333335E-2</v>
      </c>
      <c r="AF34" s="27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6">
        <v>8.4099999999999995E-4</v>
      </c>
      <c r="AB35" s="26">
        <v>5.3499999999999999E-5</v>
      </c>
      <c r="AC35" s="26"/>
      <c r="AD35" s="25">
        <v>372</v>
      </c>
      <c r="AE35" s="27">
        <f t="shared" ca="1" si="14"/>
        <v>4.3333333333333335E-2</v>
      </c>
      <c r="AF35" s="27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6">
        <v>9.0200000000000002E-4</v>
      </c>
      <c r="AB36" s="26">
        <v>5.5899999999999997E-5</v>
      </c>
      <c r="AC36" s="26"/>
      <c r="AD36" s="25">
        <v>371</v>
      </c>
      <c r="AE36" s="27">
        <f t="shared" ca="1" si="14"/>
        <v>4.3333333333333335E-2</v>
      </c>
      <c r="AF36" s="27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6">
        <v>9.6599999999999995E-4</v>
      </c>
      <c r="AB37" s="26">
        <v>5.3900000000000002E-5</v>
      </c>
      <c r="AC37" s="26"/>
      <c r="AD37" s="25">
        <v>370</v>
      </c>
      <c r="AE37" s="27">
        <f t="shared" ca="1" si="14"/>
        <v>4.3333333333333335E-2</v>
      </c>
      <c r="AF37" s="27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6">
        <v>1.0399999999999999E-3</v>
      </c>
      <c r="AB38" s="26">
        <v>4.99E-5</v>
      </c>
      <c r="AC38" s="26"/>
      <c r="AD38" s="25">
        <v>369</v>
      </c>
      <c r="AE38" s="27">
        <f t="shared" ca="1" si="14"/>
        <v>4.3333333333333335E-2</v>
      </c>
      <c r="AF38" s="27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6">
        <v>1.1100000000000001E-3</v>
      </c>
      <c r="AB39" s="26">
        <v>5.0399999999999999E-5</v>
      </c>
      <c r="AC39" s="26"/>
      <c r="AD39" s="25">
        <v>368</v>
      </c>
      <c r="AE39" s="27">
        <f t="shared" ca="1" si="14"/>
        <v>0.21666666666666667</v>
      </c>
      <c r="AF39" s="27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6">
        <v>1.1900000000000001E-3</v>
      </c>
      <c r="AB40" s="26">
        <v>5.2299999999999997E-5</v>
      </c>
      <c r="AC40" s="26"/>
      <c r="AD40" s="25">
        <v>367</v>
      </c>
      <c r="AE40" s="27">
        <f t="shared" ca="1" si="14"/>
        <v>4.3333333333333335E-2</v>
      </c>
      <c r="AF40" s="27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6">
        <v>1.2700000000000001E-3</v>
      </c>
      <c r="AB41" s="26">
        <v>5.3300000000000001E-5</v>
      </c>
      <c r="AC41" s="26"/>
      <c r="AD41" s="25">
        <v>366</v>
      </c>
      <c r="AE41" s="27">
        <f t="shared" ca="1" si="14"/>
        <v>4.3333333333333335E-2</v>
      </c>
      <c r="AF41" s="27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6">
        <v>1.3600000000000001E-3</v>
      </c>
      <c r="AB42" s="26">
        <v>5.3199999999999999E-5</v>
      </c>
      <c r="AC42" s="26"/>
      <c r="AD42" s="25">
        <v>365</v>
      </c>
      <c r="AE42" s="27">
        <f t="shared" ca="1" si="14"/>
        <v>4.3333333333333335E-2</v>
      </c>
      <c r="AF42" s="27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6">
        <v>1.5100000000000001E-3</v>
      </c>
      <c r="AB43" s="26">
        <v>5.0099999999999998E-5</v>
      </c>
      <c r="AC43" s="26"/>
      <c r="AD43" s="25">
        <v>364</v>
      </c>
      <c r="AE43" s="27">
        <f t="shared" ca="1" si="14"/>
        <v>4.3333333333333335E-2</v>
      </c>
      <c r="AF43" s="27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6">
        <v>2.33E-3</v>
      </c>
      <c r="AB44" s="26">
        <v>4.4499999999999997E-5</v>
      </c>
      <c r="AC44" s="26"/>
      <c r="AD44" s="25">
        <v>363</v>
      </c>
      <c r="AE44" s="27">
        <f t="shared" ca="1" si="14"/>
        <v>4.3333333333333335E-2</v>
      </c>
      <c r="AF44" s="27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6">
        <v>3.5999999999999999E-3</v>
      </c>
      <c r="AB45" s="26">
        <v>3.6100000000000003E-5</v>
      </c>
      <c r="AC45" s="26"/>
      <c r="AD45" s="25">
        <v>362</v>
      </c>
      <c r="AE45" s="27">
        <f t="shared" ca="1" si="14"/>
        <v>4.3333333333333335E-2</v>
      </c>
      <c r="AF45" s="27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6">
        <v>5.5500000000000002E-3</v>
      </c>
      <c r="AB46" s="26">
        <v>3.3200000000000001E-5</v>
      </c>
      <c r="AC46" s="26"/>
      <c r="AD46" s="25">
        <v>361</v>
      </c>
      <c r="AE46" s="27">
        <f t="shared" ca="1" si="14"/>
        <v>4.3333333333333335E-2</v>
      </c>
      <c r="AF46" s="27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6">
        <v>8.5500000000000003E-3</v>
      </c>
      <c r="AB47" s="26">
        <v>3.1399999999999998E-5</v>
      </c>
      <c r="AC47" s="26"/>
      <c r="AD47" s="25">
        <v>360</v>
      </c>
      <c r="AE47" s="27">
        <f t="shared" ca="1" si="14"/>
        <v>4.3333333333333335E-2</v>
      </c>
      <c r="AF47" s="27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6">
        <v>1.32E-2</v>
      </c>
      <c r="AB48" s="26">
        <v>2.7900000000000001E-5</v>
      </c>
      <c r="AC48" s="26"/>
      <c r="AD48" s="25">
        <v>359</v>
      </c>
      <c r="AE48" s="27">
        <f t="shared" ca="1" si="14"/>
        <v>4.3333333333333335E-2</v>
      </c>
      <c r="AF48" s="27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6">
        <v>2.0299999999999999E-2</v>
      </c>
      <c r="AB49" s="26">
        <v>2.4300000000000001E-5</v>
      </c>
      <c r="AC49" s="26"/>
      <c r="AD49" s="25">
        <v>358</v>
      </c>
      <c r="AE49" s="27">
        <f t="shared" ca="1" si="14"/>
        <v>4.3333333333333335E-2</v>
      </c>
      <c r="AF49" s="27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6">
        <v>3.1300000000000001E-2</v>
      </c>
      <c r="AB50" s="26">
        <v>2.1299999999999999E-5</v>
      </c>
      <c r="AC50" s="26"/>
      <c r="AD50" s="25">
        <v>357</v>
      </c>
      <c r="AE50" s="27">
        <f t="shared" ca="1" si="14"/>
        <v>4.3333333333333335E-2</v>
      </c>
      <c r="AF50" s="27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6">
        <v>4.8300000000000003E-2</v>
      </c>
      <c r="AB51" s="26">
        <v>1.7499999999999998E-5</v>
      </c>
      <c r="AC51" s="26"/>
      <c r="AD51" s="25">
        <v>356</v>
      </c>
      <c r="AE51" s="27">
        <f t="shared" ca="1" si="14"/>
        <v>4.3333333333333335E-2</v>
      </c>
      <c r="AF51" s="27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6">
        <v>7.4499999999999997E-2</v>
      </c>
      <c r="AB52" s="26">
        <v>1.34E-5</v>
      </c>
      <c r="AC52" s="26"/>
      <c r="AD52" s="25">
        <v>355</v>
      </c>
      <c r="AE52" s="27">
        <f t="shared" ca="1" si="14"/>
        <v>4.3333333333333335E-2</v>
      </c>
      <c r="AF52" s="27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6">
        <v>0.115</v>
      </c>
      <c r="AB53" s="26">
        <v>9.6800000000000005E-6</v>
      </c>
      <c r="AC53" s="26"/>
      <c r="AD53" s="25">
        <v>354</v>
      </c>
      <c r="AE53" s="27">
        <f t="shared" ca="1" si="14"/>
        <v>4.3333333333333335E-2</v>
      </c>
      <c r="AF53" s="27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6">
        <v>0.17699999999999999</v>
      </c>
      <c r="AB54" s="26">
        <v>7.1899999999999998E-6</v>
      </c>
      <c r="AC54" s="26"/>
      <c r="AD54" s="25">
        <v>353</v>
      </c>
      <c r="AE54" s="27">
        <f t="shared" ca="1" si="14"/>
        <v>4.3333333333333335E-2</v>
      </c>
      <c r="AF54" s="27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6">
        <v>0.27300000000000002</v>
      </c>
      <c r="AB55" s="26">
        <v>4.3499999999999999E-6</v>
      </c>
      <c r="AC55" s="26"/>
      <c r="AD55" s="25">
        <v>352</v>
      </c>
      <c r="AE55" s="27">
        <f t="shared" ca="1" si="14"/>
        <v>4.3333333333333335E-2</v>
      </c>
      <c r="AF55" s="27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6">
        <v>0.42099999999999999</v>
      </c>
      <c r="AB56" s="26">
        <v>2.3599999999999999E-6</v>
      </c>
      <c r="AC56" s="26"/>
      <c r="AD56" s="25">
        <v>351</v>
      </c>
      <c r="AE56" s="27">
        <f t="shared" ca="1" si="14"/>
        <v>4.3333333333333335E-2</v>
      </c>
      <c r="AF56" s="27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6">
        <v>0.64900000000000002</v>
      </c>
      <c r="AB57" s="26">
        <v>8.6400000000000001E-7</v>
      </c>
      <c r="AC57" s="26"/>
      <c r="AD57" s="25">
        <v>350</v>
      </c>
      <c r="AE57" s="27">
        <f t="shared" ca="1" si="14"/>
        <v>4.3333333333333335E-2</v>
      </c>
      <c r="AF57" s="27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6">
        <v>1</v>
      </c>
      <c r="AB58" s="26">
        <v>3.3700000000000001E-7</v>
      </c>
      <c r="AC58" s="26"/>
      <c r="AD58" s="25">
        <v>349</v>
      </c>
      <c r="AE58" s="27">
        <f t="shared" ca="1" si="14"/>
        <v>4.3333333333333335E-2</v>
      </c>
      <c r="AF58" s="27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6">
        <v>1</v>
      </c>
      <c r="AB59" s="26">
        <v>1.2800000000000001E-7</v>
      </c>
      <c r="AC59" s="26"/>
      <c r="AD59" s="25">
        <v>348</v>
      </c>
      <c r="AE59" s="27">
        <f t="shared" ca="1" si="14"/>
        <v>4.3333333333333335E-2</v>
      </c>
      <c r="AF59" s="27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6">
        <v>1</v>
      </c>
      <c r="AB60" s="26">
        <v>2.92E-8</v>
      </c>
      <c r="AC60" s="26"/>
      <c r="AD60" s="25">
        <v>347</v>
      </c>
      <c r="AE60" s="27">
        <f t="shared" ca="1" si="14"/>
        <v>4.3333333333333335E-2</v>
      </c>
      <c r="AF60" s="27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6">
        <v>1</v>
      </c>
      <c r="AB61" s="26">
        <v>2.8499999999999999E-9</v>
      </c>
      <c r="AC61" s="26"/>
      <c r="AD61" s="25">
        <v>346</v>
      </c>
      <c r="AE61" s="27">
        <f t="shared" ca="1" si="14"/>
        <v>4.3333333333333335E-2</v>
      </c>
      <c r="AF61" s="27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6">
        <v>1</v>
      </c>
      <c r="AB62" s="26">
        <v>3.0900000000000002E-10</v>
      </c>
      <c r="AC62" s="26"/>
      <c r="AD62" s="25">
        <v>345</v>
      </c>
      <c r="AE62" s="27">
        <f t="shared" ca="1" si="14"/>
        <v>4.3333333333333335E-2</v>
      </c>
      <c r="AF62" s="27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6">
        <v>1</v>
      </c>
      <c r="AB63" s="26">
        <v>6.4699999999999994E-11</v>
      </c>
      <c r="AC63" s="26"/>
      <c r="AD63" s="25">
        <v>344</v>
      </c>
      <c r="AE63" s="27">
        <f t="shared" ca="1" si="14"/>
        <v>4.3333333333333335E-2</v>
      </c>
      <c r="AF63" s="27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6">
        <v>1</v>
      </c>
      <c r="AB64" s="26">
        <v>4.0600000000000001E-11</v>
      </c>
      <c r="AC64" s="26"/>
      <c r="AD64" s="25">
        <v>343</v>
      </c>
      <c r="AE64" s="27">
        <f t="shared" ca="1" si="14"/>
        <v>4.3333333333333335E-2</v>
      </c>
      <c r="AF64" s="27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6">
        <v>1</v>
      </c>
      <c r="AB65" s="26">
        <v>3.1400000000000003E-11</v>
      </c>
      <c r="AC65" s="26"/>
      <c r="AD65" s="25">
        <v>342</v>
      </c>
      <c r="AE65" s="27">
        <f t="shared" ca="1" si="14"/>
        <v>4.3333333333333335E-2</v>
      </c>
      <c r="AF65" s="27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6">
        <v>1</v>
      </c>
      <c r="AB66" s="26">
        <v>2.37E-11</v>
      </c>
      <c r="AC66" s="26"/>
      <c r="AD66" s="25">
        <v>341</v>
      </c>
      <c r="AE66" s="27">
        <f t="shared" ca="1" si="14"/>
        <v>4.3333333333333335E-2</v>
      </c>
      <c r="AF66" s="27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6">
        <v>1</v>
      </c>
      <c r="AB67" s="26">
        <v>4.1199999999999997E-11</v>
      </c>
      <c r="AC67" s="26"/>
      <c r="AD67" s="25">
        <v>340</v>
      </c>
      <c r="AE67" s="27">
        <f t="shared" ca="1" si="14"/>
        <v>4.3333333333333335E-2</v>
      </c>
      <c r="AF67" s="27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133</v>
      </c>
      <c r="Y68" s="29">
        <f>SUMPRODUCT(AA7:AA67,AB7:AB67)</f>
        <v>1.0854396E-5</v>
      </c>
      <c r="Z68" s="29">
        <f>SUMPRODUCT(AA7:AA67,AB7:AB67)</f>
        <v>1.0854396E-5</v>
      </c>
      <c r="AA68" s="29"/>
      <c r="AB68" s="29"/>
      <c r="AC68" s="29"/>
      <c r="AD68" s="25">
        <v>339</v>
      </c>
      <c r="AE68" s="22">
        <f t="shared" ca="1" si="14"/>
        <v>4.3333333333333335E-2</v>
      </c>
      <c r="AF68" s="2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134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9"/>
      <c r="AB69" s="29"/>
      <c r="AC69" s="29"/>
      <c r="AD69" s="25">
        <v>338</v>
      </c>
      <c r="AE69" s="22">
        <f t="shared" ca="1" si="14"/>
        <v>4.3333333333333335E-2</v>
      </c>
      <c r="AF69" s="2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124</v>
      </c>
      <c r="Y70" s="29">
        <f ca="1">Y68/Y69</f>
        <v>22.842138059815493</v>
      </c>
      <c r="Z70" s="29">
        <f t="shared" ref="Z70" ca="1" si="22">Z68/Z69</f>
        <v>100.21885383985033</v>
      </c>
      <c r="AA70" s="29"/>
      <c r="AB70" s="29"/>
      <c r="AC70" s="29"/>
      <c r="AD70" s="25">
        <v>337</v>
      </c>
      <c r="AE70" s="22">
        <f t="shared" ca="1" si="14"/>
        <v>4.3333333333333335E-2</v>
      </c>
      <c r="AF70" s="2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25">
        <v>336</v>
      </c>
      <c r="AE71" s="22">
        <f t="shared" ca="1" si="14"/>
        <v>4.3333333333333335E-2</v>
      </c>
      <c r="AF71" s="22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25">
        <v>335</v>
      </c>
      <c r="AE72" s="22">
        <f t="shared" ref="AE72:AE92" ca="1" si="23">AVERAGE(Q95:S95)</f>
        <v>4.3333333333333335E-2</v>
      </c>
      <c r="AF72" s="22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25">
        <v>334</v>
      </c>
      <c r="AE73" s="22">
        <f t="shared" ca="1" si="23"/>
        <v>4.3333333333333335E-2</v>
      </c>
      <c r="AF73" s="22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25">
        <v>333</v>
      </c>
      <c r="AE74" s="22">
        <f t="shared" ca="1" si="23"/>
        <v>4.3333333333333335E-2</v>
      </c>
      <c r="AF74" s="22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25">
        <v>332</v>
      </c>
      <c r="AE75" s="22">
        <f t="shared" ca="1" si="23"/>
        <v>4.3333333333333335E-2</v>
      </c>
      <c r="AF75" s="22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25">
        <v>331</v>
      </c>
      <c r="AE76" s="22">
        <f t="shared" ca="1" si="23"/>
        <v>4.3333333333333335E-2</v>
      </c>
      <c r="AF76" s="22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25">
        <v>330</v>
      </c>
      <c r="AE77" s="22">
        <f t="shared" ca="1" si="23"/>
        <v>4.3333333333333335E-2</v>
      </c>
      <c r="AF77" s="22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25">
        <v>329</v>
      </c>
      <c r="AE78" s="22">
        <f t="shared" ca="1" si="23"/>
        <v>4.3333333333333335E-2</v>
      </c>
      <c r="AF78" s="22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25">
        <v>328</v>
      </c>
      <c r="AE79" s="22">
        <f t="shared" ca="1" si="23"/>
        <v>4.3333333333333335E-2</v>
      </c>
      <c r="AF79" s="22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25">
        <v>327</v>
      </c>
      <c r="AE80" s="22">
        <f t="shared" ca="1" si="23"/>
        <v>4.3333333333333335E-2</v>
      </c>
      <c r="AF80" s="22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25">
        <v>326</v>
      </c>
      <c r="AE81" s="22">
        <f t="shared" ca="1" si="23"/>
        <v>4.3333333333333335E-2</v>
      </c>
      <c r="AF81" s="22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25">
        <v>325</v>
      </c>
      <c r="AE82" s="22">
        <f t="shared" ca="1" si="23"/>
        <v>4.3333333333333335E-2</v>
      </c>
      <c r="AF82" s="22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25">
        <v>324</v>
      </c>
      <c r="AE83" s="22">
        <f t="shared" ca="1" si="23"/>
        <v>4.3333333333333335E-2</v>
      </c>
      <c r="AF83" s="22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25">
        <v>323</v>
      </c>
      <c r="AE84" s="22">
        <f t="shared" ca="1" si="23"/>
        <v>4.3333333333333335E-2</v>
      </c>
      <c r="AF84" s="22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25">
        <v>322</v>
      </c>
      <c r="AE85" s="22">
        <f t="shared" ca="1" si="23"/>
        <v>4.3333333333333335E-2</v>
      </c>
      <c r="AF85" s="22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25">
        <v>321</v>
      </c>
      <c r="AE86" s="22">
        <f t="shared" ca="1" si="23"/>
        <v>4.3333333333333335E-2</v>
      </c>
      <c r="AF86" s="22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25">
        <v>320</v>
      </c>
      <c r="AE87" s="22">
        <f t="shared" ca="1" si="23"/>
        <v>4.3333333333333335E-2</v>
      </c>
      <c r="AF87" s="22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25">
        <v>319</v>
      </c>
      <c r="AE88" s="22">
        <f t="shared" ca="1" si="23"/>
        <v>4.3333333333333335E-2</v>
      </c>
      <c r="AF88" s="22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25">
        <v>318</v>
      </c>
      <c r="AE89" s="22">
        <f t="shared" ca="1" si="23"/>
        <v>4.3333333333333335E-2</v>
      </c>
      <c r="AF89" s="22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25">
        <v>317</v>
      </c>
      <c r="AE90" s="22">
        <f t="shared" ca="1" si="23"/>
        <v>4.3333333333333335E-2</v>
      </c>
      <c r="AF90" s="22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25">
        <v>316</v>
      </c>
      <c r="AE91" s="22">
        <f t="shared" ca="1" si="23"/>
        <v>4.3333333333333335E-2</v>
      </c>
      <c r="AF91" s="22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25">
        <v>315</v>
      </c>
      <c r="AE92" s="22">
        <f t="shared" ca="1" si="23"/>
        <v>4.3333333333333335E-2</v>
      </c>
      <c r="AF92" s="22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135</v>
      </c>
      <c r="AE93" s="22">
        <f t="shared" ref="AE93:AF93" ca="1" si="25">SUM(AE7:AE92)</f>
        <v>3.900000000000007</v>
      </c>
      <c r="AF93" s="22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136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5.75" x14ac:dyDescent="0.2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22" t="s">
        <v>137</v>
      </c>
      <c r="AE95" s="22">
        <f t="shared" ref="AE95:AF95" ca="1" si="32">AE93/AE94</f>
        <v>4.5348837209302405E-2</v>
      </c>
      <c r="AF95" s="22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22" t="s">
        <v>44</v>
      </c>
      <c r="AE97" s="22"/>
      <c r="AF97" s="22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22" t="s">
        <v>25</v>
      </c>
      <c r="AE98" s="22" t="s">
        <v>26</v>
      </c>
      <c r="AF98" s="22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22" t="s">
        <v>1</v>
      </c>
      <c r="AE99" s="22" t="s">
        <v>27</v>
      </c>
      <c r="AF99" s="22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22">
        <f ca="1">AVERAGE(Q115:S115)</f>
        <v>4.3333333333333335E-2</v>
      </c>
      <c r="AF100" s="22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22">
        <f t="shared" ref="AE101:AE135" ca="1" si="33">AVERAGE(Q116:S116)</f>
        <v>4.3333333333333335E-2</v>
      </c>
      <c r="AF101" s="22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22">
        <f t="shared" ca="1" si="33"/>
        <v>4.3333333333333335E-2</v>
      </c>
      <c r="AF102" s="22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22">
        <f t="shared" ca="1" si="33"/>
        <v>4.3333333333333335E-2</v>
      </c>
      <c r="AF103" s="22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22">
        <f t="shared" ca="1" si="33"/>
        <v>4.3333333333333335E-2</v>
      </c>
      <c r="AF104" s="22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22">
        <f t="shared" ca="1" si="33"/>
        <v>4.3333333333333335E-2</v>
      </c>
      <c r="AF105" s="22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22">
        <f t="shared" ca="1" si="33"/>
        <v>4.3333333333333335E-2</v>
      </c>
      <c r="AF106" s="22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22">
        <f t="shared" ca="1" si="33"/>
        <v>4.3333333333333335E-2</v>
      </c>
      <c r="AF107" s="22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22">
        <f t="shared" ca="1" si="33"/>
        <v>4.3333333333333335E-2</v>
      </c>
      <c r="AF108" s="22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22">
        <f t="shared" ca="1" si="33"/>
        <v>4.3333333333333335E-2</v>
      </c>
      <c r="AF109" s="22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22">
        <f t="shared" ca="1" si="33"/>
        <v>4.3333333333333335E-2</v>
      </c>
      <c r="AF110" s="22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22">
        <f t="shared" ca="1" si="33"/>
        <v>4.3333333333333335E-2</v>
      </c>
      <c r="AF111" s="22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22">
        <f t="shared" ca="1" si="33"/>
        <v>4.3333333333333335E-2</v>
      </c>
      <c r="AF112" s="22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22">
        <f t="shared" ca="1" si="33"/>
        <v>4.3333333333333335E-2</v>
      </c>
      <c r="AF113" s="22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22">
        <f t="shared" ca="1" si="33"/>
        <v>4.3333333333333335E-2</v>
      </c>
      <c r="AF114" s="22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22">
        <f t="shared" ca="1" si="33"/>
        <v>4.3333333333333335E-2</v>
      </c>
      <c r="AF115" s="22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22">
        <f t="shared" ca="1" si="33"/>
        <v>4.3333333333333335E-2</v>
      </c>
      <c r="AF116" s="22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22">
        <f t="shared" ca="1" si="33"/>
        <v>4.3333333333333335E-2</v>
      </c>
      <c r="AF117" s="22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22">
        <f t="shared" ca="1" si="33"/>
        <v>4.3333333333333335E-2</v>
      </c>
      <c r="AF118" s="22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22">
        <f t="shared" ca="1" si="33"/>
        <v>4.3333333333333335E-2</v>
      </c>
      <c r="AF119" s="22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22">
        <f t="shared" ca="1" si="33"/>
        <v>4.3333333333333335E-2</v>
      </c>
      <c r="AF120" s="22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22">
        <f t="shared" ca="1" si="33"/>
        <v>4.3333333333333335E-2</v>
      </c>
      <c r="AF121" s="22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22">
        <f t="shared" ca="1" si="33"/>
        <v>4.3333333333333335E-2</v>
      </c>
      <c r="AF122" s="22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22">
        <f t="shared" ca="1" si="33"/>
        <v>4.3333333333333335E-2</v>
      </c>
      <c r="AF123" s="22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22">
        <f t="shared" ca="1" si="33"/>
        <v>4.3333333333333335E-2</v>
      </c>
      <c r="AF124" s="22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22">
        <f t="shared" ca="1" si="33"/>
        <v>4.3333333333333335E-2</v>
      </c>
      <c r="AF125" s="22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22">
        <f t="shared" ca="1" si="33"/>
        <v>4.3333333333333335E-2</v>
      </c>
      <c r="AF126" s="22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22">
        <f t="shared" ca="1" si="33"/>
        <v>4.3333333333333335E-2</v>
      </c>
      <c r="AF127" s="22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22">
        <f t="shared" ca="1" si="33"/>
        <v>4.3333333333333335E-2</v>
      </c>
      <c r="AF128" s="22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22">
        <f t="shared" ca="1" si="33"/>
        <v>4.3333333333333335E-2</v>
      </c>
      <c r="AF129" s="22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22">
        <f t="shared" ca="1" si="33"/>
        <v>4.3333333333333335E-2</v>
      </c>
      <c r="AF130" s="22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22">
        <f t="shared" ca="1" si="33"/>
        <v>4.3333333333333335E-2</v>
      </c>
      <c r="AF131" s="22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22">
        <f t="shared" ca="1" si="33"/>
        <v>4.3333333333333335E-2</v>
      </c>
      <c r="AF132" s="22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22">
        <f t="shared" ca="1" si="33"/>
        <v>4.3333333333333335E-2</v>
      </c>
      <c r="AF133" s="22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22">
        <f t="shared" ca="1" si="33"/>
        <v>4.3333333333333335E-2</v>
      </c>
      <c r="AF134" s="22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22">
        <f t="shared" ca="1" si="33"/>
        <v>4.3333333333333335E-2</v>
      </c>
      <c r="AF135" s="22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135</v>
      </c>
      <c r="AE136" s="22">
        <f ca="1">SUM(AE100:AE135)</f>
        <v>1.5600000000000014</v>
      </c>
      <c r="AF136" s="22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136</v>
      </c>
      <c r="AE137" s="22">
        <v>36</v>
      </c>
      <c r="AF137" s="2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5.75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22" t="s">
        <v>138</v>
      </c>
      <c r="AE138" s="22">
        <f ca="1">AE136/AE137</f>
        <v>4.333333333333337E-2</v>
      </c>
      <c r="AF138" s="22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FF8B-2C73-48CF-8005-3394B1E6380F}">
  <sheetPr codeName="Sheet7"/>
  <dimension ref="A1:AN150"/>
  <sheetViews>
    <sheetView topLeftCell="H1" workbookViewId="0">
      <selection activeCell="K10" sqref="K10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121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122</v>
      </c>
      <c r="Y2" s="6"/>
      <c r="Z2" s="6"/>
      <c r="AA2" s="6"/>
      <c r="AB2" s="6"/>
      <c r="AC2" s="6"/>
      <c r="AD2" s="6" t="s">
        <v>21</v>
      </c>
      <c r="AE2" s="6" t="s">
        <v>37</v>
      </c>
      <c r="AF2" s="24" t="s">
        <v>123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21</v>
      </c>
      <c r="Y3" s="9" t="s">
        <v>124</v>
      </c>
      <c r="Z3" s="12" t="s">
        <v>125</v>
      </c>
      <c r="AA3" s="9"/>
      <c r="AB3" s="9"/>
      <c r="AC3" s="9"/>
      <c r="AD3" s="9"/>
      <c r="AE3" s="22"/>
      <c r="AF3" s="6" t="s">
        <v>126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127</v>
      </c>
      <c r="AA4" s="6"/>
      <c r="AB4" s="6"/>
      <c r="AC4" s="6"/>
      <c r="AD4" s="6" t="s">
        <v>128</v>
      </c>
      <c r="AE4" s="22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6" t="s">
        <v>129</v>
      </c>
      <c r="AB5" s="6" t="s">
        <v>130</v>
      </c>
      <c r="AC5" s="6"/>
      <c r="AD5" s="6" t="s">
        <v>25</v>
      </c>
      <c r="AE5" s="23" t="s">
        <v>26</v>
      </c>
      <c r="AF5" s="23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6" t="s">
        <v>131</v>
      </c>
      <c r="AB6" s="6" t="s">
        <v>132</v>
      </c>
      <c r="AC6" s="6"/>
      <c r="AD6" s="6" t="s">
        <v>1</v>
      </c>
      <c r="AE6" s="23" t="s">
        <v>27</v>
      </c>
      <c r="AF6" s="23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6">
        <v>1.22E-4</v>
      </c>
      <c r="AB7" s="26">
        <v>1.01E-4</v>
      </c>
      <c r="AC7" s="26"/>
      <c r="AD7" s="42">
        <v>400</v>
      </c>
      <c r="AE7" s="27">
        <f ca="1">AVERAGE(Q30:S30)</f>
        <v>3.6666666666666667E-2</v>
      </c>
      <c r="AF7" s="27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6">
        <v>1.2999999999999999E-4</v>
      </c>
      <c r="AB8" s="26">
        <v>8.0099999999999995E-5</v>
      </c>
      <c r="AC8" s="26"/>
      <c r="AD8" s="42">
        <v>399</v>
      </c>
      <c r="AE8" s="27">
        <f t="shared" ref="AE8:AE71" ca="1" si="14">AVERAGE(Q31:S31)</f>
        <v>4.3333333333333335E-2</v>
      </c>
      <c r="AF8" s="27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6">
        <v>1.3999999999999999E-4</v>
      </c>
      <c r="AB9" s="26">
        <v>6.8100000000000002E-5</v>
      </c>
      <c r="AC9" s="26"/>
      <c r="AD9" s="42">
        <v>398</v>
      </c>
      <c r="AE9" s="27">
        <f t="shared" ca="1" si="14"/>
        <v>5.000000000000001E-2</v>
      </c>
      <c r="AF9" s="27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6">
        <v>1.4999999999999999E-4</v>
      </c>
      <c r="AB10" s="26">
        <v>6.5500000000000006E-5</v>
      </c>
      <c r="AC10" s="26"/>
      <c r="AD10" s="42">
        <v>397</v>
      </c>
      <c r="AE10" s="27">
        <f t="shared" ca="1" si="14"/>
        <v>4.3333333333333335E-2</v>
      </c>
      <c r="AF10" s="27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6">
        <v>1.6000000000000001E-4</v>
      </c>
      <c r="AB11" s="26">
        <v>7.1600000000000006E-5</v>
      </c>
      <c r="AC11" s="26"/>
      <c r="AD11" s="42">
        <v>396</v>
      </c>
      <c r="AE11" s="27">
        <f t="shared" ca="1" si="14"/>
        <v>4.3333333333333335E-2</v>
      </c>
      <c r="AF11" s="27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6">
        <v>1.7200000000000001E-4</v>
      </c>
      <c r="AB12" s="26">
        <v>7.5699999999999997E-5</v>
      </c>
      <c r="AC12" s="26"/>
      <c r="AD12" s="42">
        <v>395</v>
      </c>
      <c r="AE12" s="27">
        <f t="shared" ca="1" si="14"/>
        <v>4.3333333333333335E-2</v>
      </c>
      <c r="AF12" s="27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6">
        <v>1.84E-4</v>
      </c>
      <c r="AB13" s="26">
        <v>6.7199999999999994E-5</v>
      </c>
      <c r="AC13" s="26"/>
      <c r="AD13" s="42">
        <v>394</v>
      </c>
      <c r="AE13" s="27">
        <f t="shared" ca="1" si="14"/>
        <v>4.3333333333333335E-2</v>
      </c>
      <c r="AF13" s="27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6">
        <v>1.9699999999999999E-4</v>
      </c>
      <c r="AB14" s="26">
        <v>6.2600000000000004E-5</v>
      </c>
      <c r="AC14" s="26"/>
      <c r="AD14" s="42">
        <v>393</v>
      </c>
      <c r="AE14" s="27">
        <f t="shared" ca="1" si="14"/>
        <v>4.3333333333333335E-2</v>
      </c>
      <c r="AF14" s="27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6">
        <v>2.1100000000000001E-4</v>
      </c>
      <c r="AB15" s="26">
        <v>5.8499999999999999E-5</v>
      </c>
      <c r="AC15" s="26"/>
      <c r="AD15" s="42">
        <v>392</v>
      </c>
      <c r="AE15" s="27">
        <f t="shared" ca="1" si="14"/>
        <v>4.3333333333333335E-2</v>
      </c>
      <c r="AF15" s="27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6">
        <v>2.2599999999999999E-4</v>
      </c>
      <c r="AB16" s="26">
        <v>6.4200000000000002E-5</v>
      </c>
      <c r="AC16" s="26"/>
      <c r="AD16" s="42">
        <v>391</v>
      </c>
      <c r="AE16" s="27">
        <f t="shared" ca="1" si="14"/>
        <v>4.3333333333333335E-2</v>
      </c>
      <c r="AF16" s="27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6">
        <v>2.43E-4</v>
      </c>
      <c r="AB17" s="26">
        <v>7.5400000000000003E-5</v>
      </c>
      <c r="AC17" s="26"/>
      <c r="AD17" s="42">
        <v>390</v>
      </c>
      <c r="AE17" s="27">
        <f t="shared" ca="1" si="14"/>
        <v>4.3333333333333335E-2</v>
      </c>
      <c r="AF17" s="27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6">
        <v>2.5999999999999998E-4</v>
      </c>
      <c r="AB18" s="26">
        <v>7.4599999999999997E-5</v>
      </c>
      <c r="AC18" s="26"/>
      <c r="AD18" s="42">
        <v>389</v>
      </c>
      <c r="AE18" s="27">
        <f t="shared" ca="1" si="14"/>
        <v>4.3333333333333335E-2</v>
      </c>
      <c r="AF18" s="27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6">
        <v>2.7900000000000001E-4</v>
      </c>
      <c r="AB19" s="26">
        <v>6.6600000000000006E-5</v>
      </c>
      <c r="AC19" s="26"/>
      <c r="AD19" s="42">
        <v>388</v>
      </c>
      <c r="AE19" s="27">
        <f t="shared" ca="1" si="14"/>
        <v>4.3333333333333335E-2</v>
      </c>
      <c r="AF19" s="27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6">
        <v>2.99E-4</v>
      </c>
      <c r="AB20" s="26">
        <v>6.6099999999999994E-5</v>
      </c>
      <c r="AC20" s="26"/>
      <c r="AD20" s="42">
        <v>387</v>
      </c>
      <c r="AE20" s="27">
        <f t="shared" ca="1" si="14"/>
        <v>4.3333333333333335E-2</v>
      </c>
      <c r="AF20" s="27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6">
        <v>3.2000000000000003E-4</v>
      </c>
      <c r="AB21" s="26">
        <v>7.4999999999999993E-5</v>
      </c>
      <c r="AC21" s="26"/>
      <c r="AD21" s="42">
        <v>386</v>
      </c>
      <c r="AE21" s="27">
        <f t="shared" ca="1" si="14"/>
        <v>4.3333333333333335E-2</v>
      </c>
      <c r="AF21" s="27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6">
        <v>3.4299999999999999E-4</v>
      </c>
      <c r="AB22" s="26">
        <v>7.6600000000000005E-5</v>
      </c>
      <c r="AC22" s="26"/>
      <c r="AD22" s="42">
        <v>385</v>
      </c>
      <c r="AE22" s="27">
        <f t="shared" ca="1" si="14"/>
        <v>4.3333333333333335E-2</v>
      </c>
      <c r="AF22" s="27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6">
        <v>3.6699999999999998E-4</v>
      </c>
      <c r="AB23" s="26">
        <v>7.6199999999999995E-5</v>
      </c>
      <c r="AC23" s="26"/>
      <c r="AD23" s="42">
        <v>384</v>
      </c>
      <c r="AE23" s="27">
        <f t="shared" ca="1" si="14"/>
        <v>4.3333333333333335E-2</v>
      </c>
      <c r="AF23" s="27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6">
        <v>3.9399999999999998E-4</v>
      </c>
      <c r="AB24" s="26">
        <v>7.1799999999999997E-5</v>
      </c>
      <c r="AC24" s="26"/>
      <c r="AD24" s="42">
        <v>383</v>
      </c>
      <c r="AE24" s="27">
        <f t="shared" ca="1" si="14"/>
        <v>4.3333333333333335E-2</v>
      </c>
      <c r="AF24" s="27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6">
        <v>4.2200000000000001E-4</v>
      </c>
      <c r="AB25" s="26">
        <v>6.4800000000000003E-5</v>
      </c>
      <c r="AC25" s="26"/>
      <c r="AD25" s="42">
        <v>382</v>
      </c>
      <c r="AE25" s="27">
        <f t="shared" ca="1" si="14"/>
        <v>4.3333333333333335E-2</v>
      </c>
      <c r="AF25" s="27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6">
        <v>4.5199999999999998E-4</v>
      </c>
      <c r="AB26" s="26">
        <v>6.0000000000000002E-5</v>
      </c>
      <c r="AC26" s="26"/>
      <c r="AD26" s="42">
        <v>381</v>
      </c>
      <c r="AE26" s="27">
        <f t="shared" ca="1" si="14"/>
        <v>4.3333333333333335E-2</v>
      </c>
      <c r="AF26" s="27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6">
        <v>4.84E-4</v>
      </c>
      <c r="AB27" s="26">
        <v>5.6400000000000002E-5</v>
      </c>
      <c r="AC27" s="26"/>
      <c r="AD27" s="42">
        <v>380</v>
      </c>
      <c r="AE27" s="27">
        <f t="shared" ca="1" si="14"/>
        <v>4.3333333333333335E-2</v>
      </c>
      <c r="AF27" s="27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6">
        <v>5.1900000000000004E-4</v>
      </c>
      <c r="AB28" s="26">
        <v>5.38E-5</v>
      </c>
      <c r="AC28" s="26"/>
      <c r="AD28" s="42">
        <v>379</v>
      </c>
      <c r="AE28" s="27">
        <f t="shared" ca="1" si="14"/>
        <v>4.3333333333333335E-2</v>
      </c>
      <c r="AF28" s="27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6">
        <v>5.5599999999999996E-4</v>
      </c>
      <c r="AB29" s="26">
        <v>6.0600000000000003E-5</v>
      </c>
      <c r="AC29" s="26"/>
      <c r="AD29" s="42">
        <v>378</v>
      </c>
      <c r="AE29" s="27">
        <f t="shared" ca="1" si="14"/>
        <v>4.3333333333333335E-2</v>
      </c>
      <c r="AF29" s="27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6">
        <v>5.9599999999999996E-4</v>
      </c>
      <c r="AB30" s="26">
        <v>6.1299999999999999E-5</v>
      </c>
      <c r="AC30" s="26"/>
      <c r="AD30" s="42">
        <v>377</v>
      </c>
      <c r="AE30" s="27">
        <f t="shared" ca="1" si="14"/>
        <v>4.3333333333333335E-2</v>
      </c>
      <c r="AF30" s="27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6">
        <v>6.38E-4</v>
      </c>
      <c r="AB31" s="26">
        <v>5.8900000000000002E-5</v>
      </c>
      <c r="AC31" s="26"/>
      <c r="AD31" s="42">
        <v>376</v>
      </c>
      <c r="AE31" s="27">
        <f t="shared" ca="1" si="14"/>
        <v>4.3333333333333335E-2</v>
      </c>
      <c r="AF31" s="27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6">
        <v>6.8400000000000004E-4</v>
      </c>
      <c r="AB32" s="26">
        <v>5.5899999999999997E-5</v>
      </c>
      <c r="AC32" s="26"/>
      <c r="AD32" s="42">
        <v>375</v>
      </c>
      <c r="AE32" s="27">
        <f t="shared" ca="1" si="14"/>
        <v>4.3333333333333335E-2</v>
      </c>
      <c r="AF32" s="27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6">
        <v>7.3300000000000004E-4</v>
      </c>
      <c r="AB33" s="26">
        <v>5.3699999999999997E-5</v>
      </c>
      <c r="AC33" s="26"/>
      <c r="AD33" s="42">
        <v>374</v>
      </c>
      <c r="AE33" s="27">
        <f t="shared" ca="1" si="14"/>
        <v>4.3333333333333335E-2</v>
      </c>
      <c r="AF33" s="27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6">
        <v>7.85E-4</v>
      </c>
      <c r="AB34" s="26">
        <v>5.3399999999999997E-5</v>
      </c>
      <c r="AC34" s="26"/>
      <c r="AD34" s="42">
        <v>373</v>
      </c>
      <c r="AE34" s="27">
        <f t="shared" ca="1" si="14"/>
        <v>4.3333333333333335E-2</v>
      </c>
      <c r="AF34" s="27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6">
        <v>8.4099999999999995E-4</v>
      </c>
      <c r="AB35" s="26">
        <v>5.3499999999999999E-5</v>
      </c>
      <c r="AC35" s="26"/>
      <c r="AD35" s="42">
        <v>372</v>
      </c>
      <c r="AE35" s="27">
        <f t="shared" ca="1" si="14"/>
        <v>4.3333333333333335E-2</v>
      </c>
      <c r="AF35" s="27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6">
        <v>9.0200000000000002E-4</v>
      </c>
      <c r="AB36" s="26">
        <v>5.5899999999999997E-5</v>
      </c>
      <c r="AC36" s="26"/>
      <c r="AD36" s="42">
        <v>371</v>
      </c>
      <c r="AE36" s="27">
        <f t="shared" ca="1" si="14"/>
        <v>4.3333333333333335E-2</v>
      </c>
      <c r="AF36" s="27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6">
        <v>9.6599999999999995E-4</v>
      </c>
      <c r="AB37" s="26">
        <v>5.3900000000000002E-5</v>
      </c>
      <c r="AC37" s="26"/>
      <c r="AD37" s="42">
        <v>370</v>
      </c>
      <c r="AE37" s="27">
        <f t="shared" ca="1" si="14"/>
        <v>4.3333333333333335E-2</v>
      </c>
      <c r="AF37" s="27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6">
        <v>1.0399999999999999E-3</v>
      </c>
      <c r="AB38" s="26">
        <v>4.99E-5</v>
      </c>
      <c r="AC38" s="26"/>
      <c r="AD38" s="42">
        <v>369</v>
      </c>
      <c r="AE38" s="27">
        <f t="shared" ca="1" si="14"/>
        <v>4.3333333333333335E-2</v>
      </c>
      <c r="AF38" s="27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6">
        <v>1.1100000000000001E-3</v>
      </c>
      <c r="AB39" s="26">
        <v>5.0399999999999999E-5</v>
      </c>
      <c r="AC39" s="26"/>
      <c r="AD39" s="42">
        <v>368</v>
      </c>
      <c r="AE39" s="27">
        <f t="shared" ca="1" si="14"/>
        <v>0.21666666666666667</v>
      </c>
      <c r="AF39" s="27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6">
        <v>1.1900000000000001E-3</v>
      </c>
      <c r="AB40" s="26">
        <v>5.2299999999999997E-5</v>
      </c>
      <c r="AC40" s="26"/>
      <c r="AD40" s="42">
        <v>367</v>
      </c>
      <c r="AE40" s="27">
        <f t="shared" ca="1" si="14"/>
        <v>4.3333333333333335E-2</v>
      </c>
      <c r="AF40" s="27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6">
        <v>1.2700000000000001E-3</v>
      </c>
      <c r="AB41" s="26">
        <v>5.3300000000000001E-5</v>
      </c>
      <c r="AC41" s="26"/>
      <c r="AD41" s="42">
        <v>366</v>
      </c>
      <c r="AE41" s="27">
        <f t="shared" ca="1" si="14"/>
        <v>4.3333333333333335E-2</v>
      </c>
      <c r="AF41" s="27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6">
        <v>1.3600000000000001E-3</v>
      </c>
      <c r="AB42" s="26">
        <v>5.3199999999999999E-5</v>
      </c>
      <c r="AC42" s="26"/>
      <c r="AD42" s="42">
        <v>365</v>
      </c>
      <c r="AE42" s="27">
        <f t="shared" ca="1" si="14"/>
        <v>4.3333333333333335E-2</v>
      </c>
      <c r="AF42" s="27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6">
        <v>1.5100000000000001E-3</v>
      </c>
      <c r="AB43" s="26">
        <v>5.0099999999999998E-5</v>
      </c>
      <c r="AC43" s="26"/>
      <c r="AD43" s="42">
        <v>364</v>
      </c>
      <c r="AE43" s="27">
        <f t="shared" ca="1" si="14"/>
        <v>4.3333333333333335E-2</v>
      </c>
      <c r="AF43" s="27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6">
        <v>2.33E-3</v>
      </c>
      <c r="AB44" s="26">
        <v>4.4499999999999997E-5</v>
      </c>
      <c r="AC44" s="26"/>
      <c r="AD44" s="42">
        <v>363</v>
      </c>
      <c r="AE44" s="27">
        <f t="shared" ca="1" si="14"/>
        <v>4.3333333333333335E-2</v>
      </c>
      <c r="AF44" s="27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6">
        <v>3.5999999999999999E-3</v>
      </c>
      <c r="AB45" s="26">
        <v>3.6100000000000003E-5</v>
      </c>
      <c r="AC45" s="26"/>
      <c r="AD45" s="42">
        <v>362</v>
      </c>
      <c r="AE45" s="27">
        <f t="shared" ca="1" si="14"/>
        <v>4.3333333333333335E-2</v>
      </c>
      <c r="AF45" s="27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6">
        <v>5.5500000000000002E-3</v>
      </c>
      <c r="AB46" s="26">
        <v>3.3200000000000001E-5</v>
      </c>
      <c r="AC46" s="26"/>
      <c r="AD46" s="42">
        <v>361</v>
      </c>
      <c r="AE46" s="27">
        <f t="shared" ca="1" si="14"/>
        <v>4.3333333333333335E-2</v>
      </c>
      <c r="AF46" s="27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6">
        <v>8.5500000000000003E-3</v>
      </c>
      <c r="AB47" s="26">
        <v>3.1399999999999998E-5</v>
      </c>
      <c r="AC47" s="26"/>
      <c r="AD47" s="42">
        <v>360</v>
      </c>
      <c r="AE47" s="27">
        <f t="shared" ca="1" si="14"/>
        <v>4.3333333333333335E-2</v>
      </c>
      <c r="AF47" s="27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6">
        <v>1.32E-2</v>
      </c>
      <c r="AB48" s="26">
        <v>2.7900000000000001E-5</v>
      </c>
      <c r="AC48" s="26"/>
      <c r="AD48" s="42">
        <v>359</v>
      </c>
      <c r="AE48" s="27">
        <f t="shared" ca="1" si="14"/>
        <v>4.3333333333333335E-2</v>
      </c>
      <c r="AF48" s="27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6">
        <v>2.0299999999999999E-2</v>
      </c>
      <c r="AB49" s="26">
        <v>2.4300000000000001E-5</v>
      </c>
      <c r="AC49" s="26"/>
      <c r="AD49" s="42">
        <v>358</v>
      </c>
      <c r="AE49" s="27">
        <f t="shared" ca="1" si="14"/>
        <v>4.3333333333333335E-2</v>
      </c>
      <c r="AF49" s="27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6">
        <v>3.1300000000000001E-2</v>
      </c>
      <c r="AB50" s="26">
        <v>2.1299999999999999E-5</v>
      </c>
      <c r="AC50" s="26"/>
      <c r="AD50" s="42">
        <v>357</v>
      </c>
      <c r="AE50" s="27">
        <f t="shared" ca="1" si="14"/>
        <v>4.3333333333333335E-2</v>
      </c>
      <c r="AF50" s="27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6">
        <v>4.8300000000000003E-2</v>
      </c>
      <c r="AB51" s="26">
        <v>1.7499999999999998E-5</v>
      </c>
      <c r="AC51" s="26"/>
      <c r="AD51" s="42">
        <v>356</v>
      </c>
      <c r="AE51" s="27">
        <f t="shared" ca="1" si="14"/>
        <v>4.3333333333333335E-2</v>
      </c>
      <c r="AF51" s="27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6">
        <v>7.4499999999999997E-2</v>
      </c>
      <c r="AB52" s="26">
        <v>1.34E-5</v>
      </c>
      <c r="AC52" s="26"/>
      <c r="AD52" s="42">
        <v>355</v>
      </c>
      <c r="AE52" s="27">
        <f t="shared" ca="1" si="14"/>
        <v>4.3333333333333335E-2</v>
      </c>
      <c r="AF52" s="27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6">
        <v>0.115</v>
      </c>
      <c r="AB53" s="26">
        <v>9.6800000000000005E-6</v>
      </c>
      <c r="AC53" s="26"/>
      <c r="AD53" s="42">
        <v>354</v>
      </c>
      <c r="AE53" s="27">
        <f t="shared" ca="1" si="14"/>
        <v>4.3333333333333335E-2</v>
      </c>
      <c r="AF53" s="27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6">
        <v>0.17699999999999999</v>
      </c>
      <c r="AB54" s="26">
        <v>7.1899999999999998E-6</v>
      </c>
      <c r="AC54" s="26"/>
      <c r="AD54" s="42">
        <v>353</v>
      </c>
      <c r="AE54" s="27">
        <f t="shared" ca="1" si="14"/>
        <v>4.3333333333333335E-2</v>
      </c>
      <c r="AF54" s="27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6">
        <v>0.27300000000000002</v>
      </c>
      <c r="AB55" s="26">
        <v>4.3499999999999999E-6</v>
      </c>
      <c r="AC55" s="26"/>
      <c r="AD55" s="42">
        <v>352</v>
      </c>
      <c r="AE55" s="27">
        <f t="shared" ca="1" si="14"/>
        <v>4.3333333333333335E-2</v>
      </c>
      <c r="AF55" s="27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6">
        <v>0.42099999999999999</v>
      </c>
      <c r="AB56" s="26">
        <v>2.3599999999999999E-6</v>
      </c>
      <c r="AC56" s="26"/>
      <c r="AD56" s="42">
        <v>351</v>
      </c>
      <c r="AE56" s="27">
        <f t="shared" ca="1" si="14"/>
        <v>4.3333333333333335E-2</v>
      </c>
      <c r="AF56" s="27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6">
        <v>0.64900000000000002</v>
      </c>
      <c r="AB57" s="26">
        <v>8.6400000000000001E-7</v>
      </c>
      <c r="AC57" s="26"/>
      <c r="AD57" s="42">
        <v>350</v>
      </c>
      <c r="AE57" s="27">
        <f t="shared" ca="1" si="14"/>
        <v>4.3333333333333335E-2</v>
      </c>
      <c r="AF57" s="27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6">
        <v>1</v>
      </c>
      <c r="AB58" s="26">
        <v>3.3700000000000001E-7</v>
      </c>
      <c r="AC58" s="26"/>
      <c r="AD58" s="42">
        <v>349</v>
      </c>
      <c r="AE58" s="27">
        <f t="shared" ca="1" si="14"/>
        <v>4.3333333333333335E-2</v>
      </c>
      <c r="AF58" s="27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6">
        <v>1</v>
      </c>
      <c r="AB59" s="26">
        <v>1.2800000000000001E-7</v>
      </c>
      <c r="AC59" s="26"/>
      <c r="AD59" s="42">
        <v>348</v>
      </c>
      <c r="AE59" s="27">
        <f t="shared" ca="1" si="14"/>
        <v>4.3333333333333335E-2</v>
      </c>
      <c r="AF59" s="27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6">
        <v>1</v>
      </c>
      <c r="AB60" s="26">
        <v>2.92E-8</v>
      </c>
      <c r="AC60" s="26"/>
      <c r="AD60" s="42">
        <v>347</v>
      </c>
      <c r="AE60" s="27">
        <f t="shared" ca="1" si="14"/>
        <v>4.3333333333333335E-2</v>
      </c>
      <c r="AF60" s="27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6">
        <v>1</v>
      </c>
      <c r="AB61" s="26">
        <v>2.8499999999999999E-9</v>
      </c>
      <c r="AC61" s="26"/>
      <c r="AD61" s="42">
        <v>346</v>
      </c>
      <c r="AE61" s="27">
        <f t="shared" ca="1" si="14"/>
        <v>4.3333333333333335E-2</v>
      </c>
      <c r="AF61" s="27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6">
        <v>1</v>
      </c>
      <c r="AB62" s="26">
        <v>3.0900000000000002E-10</v>
      </c>
      <c r="AC62" s="26"/>
      <c r="AD62" s="42">
        <v>345</v>
      </c>
      <c r="AE62" s="27">
        <f t="shared" ca="1" si="14"/>
        <v>4.3333333333333335E-2</v>
      </c>
      <c r="AF62" s="27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6">
        <v>1</v>
      </c>
      <c r="AB63" s="26">
        <v>6.4699999999999994E-11</v>
      </c>
      <c r="AC63" s="26"/>
      <c r="AD63" s="42">
        <v>344</v>
      </c>
      <c r="AE63" s="27">
        <f t="shared" ca="1" si="14"/>
        <v>4.3333333333333335E-2</v>
      </c>
      <c r="AF63" s="27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6">
        <v>1</v>
      </c>
      <c r="AB64" s="26">
        <v>4.0600000000000001E-11</v>
      </c>
      <c r="AC64" s="26"/>
      <c r="AD64" s="42">
        <v>343</v>
      </c>
      <c r="AE64" s="27">
        <f t="shared" ca="1" si="14"/>
        <v>4.3333333333333335E-2</v>
      </c>
      <c r="AF64" s="27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6">
        <v>1</v>
      </c>
      <c r="AB65" s="26">
        <v>3.1400000000000003E-11</v>
      </c>
      <c r="AC65" s="26"/>
      <c r="AD65" s="42">
        <v>342</v>
      </c>
      <c r="AE65" s="27">
        <f t="shared" ca="1" si="14"/>
        <v>4.3333333333333335E-2</v>
      </c>
      <c r="AF65" s="27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6">
        <v>1</v>
      </c>
      <c r="AB66" s="26">
        <v>2.37E-11</v>
      </c>
      <c r="AC66" s="26"/>
      <c r="AD66" s="42">
        <v>341</v>
      </c>
      <c r="AE66" s="27">
        <f t="shared" ca="1" si="14"/>
        <v>4.3333333333333335E-2</v>
      </c>
      <c r="AF66" s="27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6">
        <v>1</v>
      </c>
      <c r="AB67" s="26">
        <v>4.1199999999999997E-11</v>
      </c>
      <c r="AC67" s="26"/>
      <c r="AD67" s="42">
        <v>340</v>
      </c>
      <c r="AE67" s="27">
        <f t="shared" ca="1" si="14"/>
        <v>4.3333333333333335E-2</v>
      </c>
      <c r="AF67" s="27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133</v>
      </c>
      <c r="Y68" s="29">
        <f>SUMPRODUCT(AA7:AA67,AB7:AB67)</f>
        <v>1.0854396E-5</v>
      </c>
      <c r="Z68" s="29">
        <f>SUMPRODUCT(AA7:AA67,AB7:AB67)</f>
        <v>1.0854396E-5</v>
      </c>
      <c r="AA68" s="29"/>
      <c r="AB68" s="29"/>
      <c r="AC68" s="29"/>
      <c r="AD68" s="42">
        <v>339</v>
      </c>
      <c r="AE68" s="22">
        <f t="shared" ca="1" si="14"/>
        <v>4.3333333333333335E-2</v>
      </c>
      <c r="AF68" s="2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134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9"/>
      <c r="AB69" s="29"/>
      <c r="AC69" s="29"/>
      <c r="AD69" s="42">
        <v>338</v>
      </c>
      <c r="AE69" s="22">
        <f t="shared" ca="1" si="14"/>
        <v>4.3333333333333335E-2</v>
      </c>
      <c r="AF69" s="2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124</v>
      </c>
      <c r="Y70" s="29">
        <f ca="1">Y68/Y69</f>
        <v>22.842138059815493</v>
      </c>
      <c r="Z70" s="29">
        <f t="shared" ref="Z70" ca="1" si="22">Z68/Z69</f>
        <v>100.21885383985033</v>
      </c>
      <c r="AA70" s="29"/>
      <c r="AB70" s="29"/>
      <c r="AC70" s="29"/>
      <c r="AD70" s="42">
        <v>337</v>
      </c>
      <c r="AE70" s="22">
        <f t="shared" ca="1" si="14"/>
        <v>4.3333333333333335E-2</v>
      </c>
      <c r="AF70" s="2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22">
        <v>336</v>
      </c>
      <c r="AE71" s="22">
        <f t="shared" ca="1" si="14"/>
        <v>4.3333333333333335E-2</v>
      </c>
      <c r="AF71" s="22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22">
        <v>335</v>
      </c>
      <c r="AE72" s="22">
        <f t="shared" ref="AE72:AE92" ca="1" si="23">AVERAGE(Q95:S95)</f>
        <v>4.3333333333333335E-2</v>
      </c>
      <c r="AF72" s="22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22">
        <v>334</v>
      </c>
      <c r="AE73" s="22">
        <f t="shared" ca="1" si="23"/>
        <v>4.3333333333333335E-2</v>
      </c>
      <c r="AF73" s="22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22">
        <v>333</v>
      </c>
      <c r="AE74" s="22">
        <f t="shared" ca="1" si="23"/>
        <v>4.3333333333333335E-2</v>
      </c>
      <c r="AF74" s="22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22">
        <v>332</v>
      </c>
      <c r="AE75" s="22">
        <f t="shared" ca="1" si="23"/>
        <v>4.3333333333333335E-2</v>
      </c>
      <c r="AF75" s="22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22">
        <v>331</v>
      </c>
      <c r="AE76" s="22">
        <f t="shared" ca="1" si="23"/>
        <v>4.3333333333333335E-2</v>
      </c>
      <c r="AF76" s="22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22">
        <v>330</v>
      </c>
      <c r="AE77" s="22">
        <f t="shared" ca="1" si="23"/>
        <v>4.3333333333333335E-2</v>
      </c>
      <c r="AF77" s="22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22">
        <v>329</v>
      </c>
      <c r="AE78" s="22">
        <f t="shared" ca="1" si="23"/>
        <v>4.3333333333333335E-2</v>
      </c>
      <c r="AF78" s="22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22">
        <v>328</v>
      </c>
      <c r="AE79" s="22">
        <f t="shared" ca="1" si="23"/>
        <v>4.3333333333333335E-2</v>
      </c>
      <c r="AF79" s="22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22">
        <v>327</v>
      </c>
      <c r="AE80" s="22">
        <f t="shared" ca="1" si="23"/>
        <v>4.3333333333333335E-2</v>
      </c>
      <c r="AF80" s="22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22">
        <v>326</v>
      </c>
      <c r="AE81" s="22">
        <f t="shared" ca="1" si="23"/>
        <v>4.3333333333333335E-2</v>
      </c>
      <c r="AF81" s="22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22">
        <v>325</v>
      </c>
      <c r="AE82" s="22">
        <f t="shared" ca="1" si="23"/>
        <v>4.3333333333333335E-2</v>
      </c>
      <c r="AF82" s="22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22">
        <v>324</v>
      </c>
      <c r="AE83" s="22">
        <f t="shared" ca="1" si="23"/>
        <v>4.3333333333333335E-2</v>
      </c>
      <c r="AF83" s="22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22">
        <v>323</v>
      </c>
      <c r="AE84" s="22">
        <f t="shared" ca="1" si="23"/>
        <v>4.3333333333333335E-2</v>
      </c>
      <c r="AF84" s="22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22">
        <v>322</v>
      </c>
      <c r="AE85" s="22">
        <f t="shared" ca="1" si="23"/>
        <v>4.3333333333333335E-2</v>
      </c>
      <c r="AF85" s="22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22">
        <v>321</v>
      </c>
      <c r="AE86" s="22">
        <f t="shared" ca="1" si="23"/>
        <v>4.3333333333333335E-2</v>
      </c>
      <c r="AF86" s="22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22">
        <v>320</v>
      </c>
      <c r="AE87" s="22">
        <f t="shared" ca="1" si="23"/>
        <v>4.3333333333333335E-2</v>
      </c>
      <c r="AF87" s="22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22">
        <v>319</v>
      </c>
      <c r="AE88" s="22">
        <f t="shared" ca="1" si="23"/>
        <v>4.3333333333333335E-2</v>
      </c>
      <c r="AF88" s="22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22">
        <v>318</v>
      </c>
      <c r="AE89" s="22">
        <f t="shared" ca="1" si="23"/>
        <v>4.3333333333333335E-2</v>
      </c>
      <c r="AF89" s="22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22">
        <v>317</v>
      </c>
      <c r="AE90" s="22">
        <f t="shared" ca="1" si="23"/>
        <v>4.3333333333333335E-2</v>
      </c>
      <c r="AF90" s="22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22">
        <v>316</v>
      </c>
      <c r="AE91" s="22">
        <f t="shared" ca="1" si="23"/>
        <v>4.3333333333333335E-2</v>
      </c>
      <c r="AF91" s="22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22">
        <v>315</v>
      </c>
      <c r="AE92" s="22">
        <f t="shared" ca="1" si="23"/>
        <v>4.3333333333333335E-2</v>
      </c>
      <c r="AF92" s="22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135</v>
      </c>
      <c r="AE93" s="22">
        <f t="shared" ref="AE93:AF93" ca="1" si="25">SUM(AE7:AE92)</f>
        <v>3.900000000000007</v>
      </c>
      <c r="AF93" s="22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136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5.75" x14ac:dyDescent="0.2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22" t="s">
        <v>137</v>
      </c>
      <c r="AE95" s="22">
        <f t="shared" ref="AE95:AF95" ca="1" si="32">AE93/AE94</f>
        <v>4.5348837209302405E-2</v>
      </c>
      <c r="AF95" s="22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22" t="s">
        <v>44</v>
      </c>
      <c r="AE97" s="22"/>
      <c r="AF97" s="22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22" t="s">
        <v>25</v>
      </c>
      <c r="AE98" s="22" t="s">
        <v>26</v>
      </c>
      <c r="AF98" s="22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22" t="s">
        <v>1</v>
      </c>
      <c r="AE99" s="22" t="s">
        <v>27</v>
      </c>
      <c r="AF99" s="22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22">
        <f ca="1">AVERAGE(Q115:S115)</f>
        <v>4.3333333333333335E-2</v>
      </c>
      <c r="AF100" s="22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22">
        <f t="shared" ref="AE101:AE135" ca="1" si="33">AVERAGE(Q116:S116)</f>
        <v>4.3333333333333335E-2</v>
      </c>
      <c r="AF101" s="22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22">
        <f t="shared" ca="1" si="33"/>
        <v>4.3333333333333335E-2</v>
      </c>
      <c r="AF102" s="22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22">
        <f t="shared" ca="1" si="33"/>
        <v>4.3333333333333335E-2</v>
      </c>
      <c r="AF103" s="22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22">
        <f t="shared" ca="1" si="33"/>
        <v>4.3333333333333335E-2</v>
      </c>
      <c r="AF104" s="22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22">
        <f t="shared" ca="1" si="33"/>
        <v>4.3333333333333335E-2</v>
      </c>
      <c r="AF105" s="22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22">
        <f t="shared" ca="1" si="33"/>
        <v>4.3333333333333335E-2</v>
      </c>
      <c r="AF106" s="22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22">
        <f t="shared" ca="1" si="33"/>
        <v>4.3333333333333335E-2</v>
      </c>
      <c r="AF107" s="22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22">
        <f t="shared" ca="1" si="33"/>
        <v>4.3333333333333335E-2</v>
      </c>
      <c r="AF108" s="22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22">
        <f t="shared" ca="1" si="33"/>
        <v>4.3333333333333335E-2</v>
      </c>
      <c r="AF109" s="22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22">
        <f t="shared" ca="1" si="33"/>
        <v>4.3333333333333335E-2</v>
      </c>
      <c r="AF110" s="22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22">
        <f t="shared" ca="1" si="33"/>
        <v>4.3333333333333335E-2</v>
      </c>
      <c r="AF111" s="22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22">
        <f t="shared" ca="1" si="33"/>
        <v>4.3333333333333335E-2</v>
      </c>
      <c r="AF112" s="22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22">
        <f t="shared" ca="1" si="33"/>
        <v>4.3333333333333335E-2</v>
      </c>
      <c r="AF113" s="22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22">
        <f t="shared" ca="1" si="33"/>
        <v>4.3333333333333335E-2</v>
      </c>
      <c r="AF114" s="22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22">
        <f t="shared" ca="1" si="33"/>
        <v>4.3333333333333335E-2</v>
      </c>
      <c r="AF115" s="22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22">
        <f t="shared" ca="1" si="33"/>
        <v>4.3333333333333335E-2</v>
      </c>
      <c r="AF116" s="22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22">
        <f t="shared" ca="1" si="33"/>
        <v>4.3333333333333335E-2</v>
      </c>
      <c r="AF117" s="22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22">
        <f t="shared" ca="1" si="33"/>
        <v>4.3333333333333335E-2</v>
      </c>
      <c r="AF118" s="22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22">
        <f t="shared" ca="1" si="33"/>
        <v>4.3333333333333335E-2</v>
      </c>
      <c r="AF119" s="22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22">
        <f t="shared" ca="1" si="33"/>
        <v>4.3333333333333335E-2</v>
      </c>
      <c r="AF120" s="22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22">
        <f t="shared" ca="1" si="33"/>
        <v>4.3333333333333335E-2</v>
      </c>
      <c r="AF121" s="22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22">
        <f t="shared" ca="1" si="33"/>
        <v>4.3333333333333335E-2</v>
      </c>
      <c r="AF122" s="22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22">
        <f t="shared" ca="1" si="33"/>
        <v>4.3333333333333335E-2</v>
      </c>
      <c r="AF123" s="22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22">
        <f t="shared" ca="1" si="33"/>
        <v>4.3333333333333335E-2</v>
      </c>
      <c r="AF124" s="22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22">
        <f t="shared" ca="1" si="33"/>
        <v>4.3333333333333335E-2</v>
      </c>
      <c r="AF125" s="22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22">
        <f t="shared" ca="1" si="33"/>
        <v>4.3333333333333335E-2</v>
      </c>
      <c r="AF126" s="22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22">
        <f t="shared" ca="1" si="33"/>
        <v>4.3333333333333335E-2</v>
      </c>
      <c r="AF127" s="22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22">
        <f t="shared" ca="1" si="33"/>
        <v>4.3333333333333335E-2</v>
      </c>
      <c r="AF128" s="22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22">
        <f t="shared" ca="1" si="33"/>
        <v>4.3333333333333335E-2</v>
      </c>
      <c r="AF129" s="22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22">
        <f t="shared" ca="1" si="33"/>
        <v>4.3333333333333335E-2</v>
      </c>
      <c r="AF130" s="22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22">
        <f t="shared" ca="1" si="33"/>
        <v>4.3333333333333335E-2</v>
      </c>
      <c r="AF131" s="22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22">
        <f t="shared" ca="1" si="33"/>
        <v>4.3333333333333335E-2</v>
      </c>
      <c r="AF132" s="22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22">
        <f t="shared" ca="1" si="33"/>
        <v>4.3333333333333335E-2</v>
      </c>
      <c r="AF133" s="22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22">
        <f t="shared" ca="1" si="33"/>
        <v>4.3333333333333335E-2</v>
      </c>
      <c r="AF134" s="22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22">
        <f t="shared" ca="1" si="33"/>
        <v>4.3333333333333335E-2</v>
      </c>
      <c r="AF135" s="22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135</v>
      </c>
      <c r="AE136" s="22">
        <f ca="1">SUM(AE100:AE135)</f>
        <v>1.5600000000000014</v>
      </c>
      <c r="AF136" s="22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136</v>
      </c>
      <c r="AE137" s="22">
        <v>36</v>
      </c>
      <c r="AF137" s="2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5.75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22" t="s">
        <v>138</v>
      </c>
      <c r="AE138" s="22">
        <f ca="1">AE136/AE137</f>
        <v>4.333333333333337E-2</v>
      </c>
      <c r="AF138" s="22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03D37-D269-451A-8BEF-B931767117C4}">
  <sheetPr codeName="Sheet8"/>
  <dimension ref="A1:AN150"/>
  <sheetViews>
    <sheetView topLeftCell="H100" workbookViewId="0">
      <selection activeCell="AC71" sqref="AC71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121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122</v>
      </c>
      <c r="Y2" s="6"/>
      <c r="Z2" s="6"/>
      <c r="AA2" s="6"/>
      <c r="AB2" s="6"/>
      <c r="AC2" s="6"/>
      <c r="AD2" s="6" t="s">
        <v>21</v>
      </c>
      <c r="AE2" s="6" t="s">
        <v>37</v>
      </c>
      <c r="AF2" s="24" t="s">
        <v>123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21</v>
      </c>
      <c r="Y3" s="9" t="s">
        <v>124</v>
      </c>
      <c r="Z3" s="12" t="s">
        <v>125</v>
      </c>
      <c r="AA3" s="9"/>
      <c r="AB3" s="9"/>
      <c r="AC3" s="9"/>
      <c r="AD3" s="9"/>
      <c r="AE3" s="22"/>
      <c r="AF3" s="6" t="s">
        <v>126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127</v>
      </c>
      <c r="AA4" s="6"/>
      <c r="AB4" s="6"/>
      <c r="AC4" s="6"/>
      <c r="AD4" s="6" t="s">
        <v>128</v>
      </c>
      <c r="AE4" s="22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6" t="s">
        <v>129</v>
      </c>
      <c r="AB5" s="6" t="s">
        <v>130</v>
      </c>
      <c r="AC5" s="6"/>
      <c r="AD5" s="6" t="s">
        <v>25</v>
      </c>
      <c r="AE5" s="23" t="s">
        <v>26</v>
      </c>
      <c r="AF5" s="23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6" t="s">
        <v>131</v>
      </c>
      <c r="AB6" s="6" t="s">
        <v>132</v>
      </c>
      <c r="AC6" s="6"/>
      <c r="AD6" s="6" t="s">
        <v>1</v>
      </c>
      <c r="AE6" s="23" t="s">
        <v>27</v>
      </c>
      <c r="AF6" s="23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6">
        <v>1.22E-4</v>
      </c>
      <c r="AB7" s="26">
        <v>1.01E-4</v>
      </c>
      <c r="AC7" s="26"/>
      <c r="AD7" s="25">
        <v>400</v>
      </c>
      <c r="AE7" s="27">
        <f ca="1">AVERAGE(Q30:S30)</f>
        <v>3.6666666666666667E-2</v>
      </c>
      <c r="AF7" s="27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6">
        <v>1.2999999999999999E-4</v>
      </c>
      <c r="AB8" s="26">
        <v>8.0099999999999995E-5</v>
      </c>
      <c r="AC8" s="26"/>
      <c r="AD8" s="25">
        <v>399</v>
      </c>
      <c r="AE8" s="27">
        <f t="shared" ref="AE8:AE71" ca="1" si="14">AVERAGE(Q31:S31)</f>
        <v>4.3333333333333335E-2</v>
      </c>
      <c r="AF8" s="27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6">
        <v>1.3999999999999999E-4</v>
      </c>
      <c r="AB9" s="26">
        <v>6.8100000000000002E-5</v>
      </c>
      <c r="AC9" s="26"/>
      <c r="AD9" s="25">
        <v>398</v>
      </c>
      <c r="AE9" s="27">
        <f t="shared" ca="1" si="14"/>
        <v>5.000000000000001E-2</v>
      </c>
      <c r="AF9" s="27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6">
        <v>1.4999999999999999E-4</v>
      </c>
      <c r="AB10" s="26">
        <v>6.5500000000000006E-5</v>
      </c>
      <c r="AC10" s="26"/>
      <c r="AD10" s="25">
        <v>397</v>
      </c>
      <c r="AE10" s="27">
        <f t="shared" ca="1" si="14"/>
        <v>4.3333333333333335E-2</v>
      </c>
      <c r="AF10" s="27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6">
        <v>1.6000000000000001E-4</v>
      </c>
      <c r="AB11" s="26">
        <v>7.1600000000000006E-5</v>
      </c>
      <c r="AC11" s="26"/>
      <c r="AD11" s="25">
        <v>396</v>
      </c>
      <c r="AE11" s="27">
        <f t="shared" ca="1" si="14"/>
        <v>4.3333333333333335E-2</v>
      </c>
      <c r="AF11" s="27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6">
        <v>1.7200000000000001E-4</v>
      </c>
      <c r="AB12" s="26">
        <v>7.5699999999999997E-5</v>
      </c>
      <c r="AC12" s="26"/>
      <c r="AD12" s="25">
        <v>395</v>
      </c>
      <c r="AE12" s="27">
        <f t="shared" ca="1" si="14"/>
        <v>4.3333333333333335E-2</v>
      </c>
      <c r="AF12" s="27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6">
        <v>1.84E-4</v>
      </c>
      <c r="AB13" s="26">
        <v>6.7199999999999994E-5</v>
      </c>
      <c r="AC13" s="26"/>
      <c r="AD13" s="25">
        <v>394</v>
      </c>
      <c r="AE13" s="27">
        <f t="shared" ca="1" si="14"/>
        <v>4.3333333333333335E-2</v>
      </c>
      <c r="AF13" s="27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6">
        <v>1.9699999999999999E-4</v>
      </c>
      <c r="AB14" s="26">
        <v>6.2600000000000004E-5</v>
      </c>
      <c r="AC14" s="26"/>
      <c r="AD14" s="25">
        <v>393</v>
      </c>
      <c r="AE14" s="27">
        <f t="shared" ca="1" si="14"/>
        <v>4.3333333333333335E-2</v>
      </c>
      <c r="AF14" s="27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6">
        <v>2.1100000000000001E-4</v>
      </c>
      <c r="AB15" s="26">
        <v>5.8499999999999999E-5</v>
      </c>
      <c r="AC15" s="26"/>
      <c r="AD15" s="25">
        <v>392</v>
      </c>
      <c r="AE15" s="27">
        <f t="shared" ca="1" si="14"/>
        <v>4.3333333333333335E-2</v>
      </c>
      <c r="AF15" s="27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6">
        <v>2.2599999999999999E-4</v>
      </c>
      <c r="AB16" s="26">
        <v>6.4200000000000002E-5</v>
      </c>
      <c r="AC16" s="26"/>
      <c r="AD16" s="25">
        <v>391</v>
      </c>
      <c r="AE16" s="27">
        <f t="shared" ca="1" si="14"/>
        <v>4.3333333333333335E-2</v>
      </c>
      <c r="AF16" s="27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6">
        <v>2.43E-4</v>
      </c>
      <c r="AB17" s="26">
        <v>7.5400000000000003E-5</v>
      </c>
      <c r="AC17" s="26"/>
      <c r="AD17" s="25">
        <v>390</v>
      </c>
      <c r="AE17" s="27">
        <f t="shared" ca="1" si="14"/>
        <v>4.3333333333333335E-2</v>
      </c>
      <c r="AF17" s="27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6">
        <v>2.5999999999999998E-4</v>
      </c>
      <c r="AB18" s="26">
        <v>7.4599999999999997E-5</v>
      </c>
      <c r="AC18" s="26"/>
      <c r="AD18" s="25">
        <v>389</v>
      </c>
      <c r="AE18" s="27">
        <f t="shared" ca="1" si="14"/>
        <v>4.3333333333333335E-2</v>
      </c>
      <c r="AF18" s="27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6">
        <v>2.7900000000000001E-4</v>
      </c>
      <c r="AB19" s="26">
        <v>6.6600000000000006E-5</v>
      </c>
      <c r="AC19" s="26"/>
      <c r="AD19" s="25">
        <v>388</v>
      </c>
      <c r="AE19" s="27">
        <f t="shared" ca="1" si="14"/>
        <v>4.3333333333333335E-2</v>
      </c>
      <c r="AF19" s="27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6">
        <v>2.99E-4</v>
      </c>
      <c r="AB20" s="26">
        <v>6.6099999999999994E-5</v>
      </c>
      <c r="AC20" s="26"/>
      <c r="AD20" s="25">
        <v>387</v>
      </c>
      <c r="AE20" s="27">
        <f t="shared" ca="1" si="14"/>
        <v>4.3333333333333335E-2</v>
      </c>
      <c r="AF20" s="27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6">
        <v>3.2000000000000003E-4</v>
      </c>
      <c r="AB21" s="26">
        <v>7.4999999999999993E-5</v>
      </c>
      <c r="AC21" s="26"/>
      <c r="AD21" s="25">
        <v>386</v>
      </c>
      <c r="AE21" s="27">
        <f t="shared" ca="1" si="14"/>
        <v>4.3333333333333335E-2</v>
      </c>
      <c r="AF21" s="27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6">
        <v>3.4299999999999999E-4</v>
      </c>
      <c r="AB22" s="26">
        <v>7.6600000000000005E-5</v>
      </c>
      <c r="AC22" s="26"/>
      <c r="AD22" s="25">
        <v>385</v>
      </c>
      <c r="AE22" s="27">
        <f t="shared" ca="1" si="14"/>
        <v>4.3333333333333335E-2</v>
      </c>
      <c r="AF22" s="27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6">
        <v>3.6699999999999998E-4</v>
      </c>
      <c r="AB23" s="26">
        <v>7.6199999999999995E-5</v>
      </c>
      <c r="AC23" s="26"/>
      <c r="AD23" s="25">
        <v>384</v>
      </c>
      <c r="AE23" s="27">
        <f t="shared" ca="1" si="14"/>
        <v>4.3333333333333335E-2</v>
      </c>
      <c r="AF23" s="27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6">
        <v>3.9399999999999998E-4</v>
      </c>
      <c r="AB24" s="26">
        <v>7.1799999999999997E-5</v>
      </c>
      <c r="AC24" s="26"/>
      <c r="AD24" s="25">
        <v>383</v>
      </c>
      <c r="AE24" s="27">
        <f t="shared" ca="1" si="14"/>
        <v>4.3333333333333335E-2</v>
      </c>
      <c r="AF24" s="27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6">
        <v>4.2200000000000001E-4</v>
      </c>
      <c r="AB25" s="26">
        <v>6.4800000000000003E-5</v>
      </c>
      <c r="AC25" s="26"/>
      <c r="AD25" s="25">
        <v>382</v>
      </c>
      <c r="AE25" s="27">
        <f t="shared" ca="1" si="14"/>
        <v>4.3333333333333335E-2</v>
      </c>
      <c r="AF25" s="27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6">
        <v>4.5199999999999998E-4</v>
      </c>
      <c r="AB26" s="26">
        <v>6.0000000000000002E-5</v>
      </c>
      <c r="AC26" s="26"/>
      <c r="AD26" s="25">
        <v>381</v>
      </c>
      <c r="AE26" s="27">
        <f t="shared" ca="1" si="14"/>
        <v>4.3333333333333335E-2</v>
      </c>
      <c r="AF26" s="27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6">
        <v>4.84E-4</v>
      </c>
      <c r="AB27" s="26">
        <v>5.6400000000000002E-5</v>
      </c>
      <c r="AC27" s="26"/>
      <c r="AD27" s="25">
        <v>380</v>
      </c>
      <c r="AE27" s="27">
        <f t="shared" ca="1" si="14"/>
        <v>4.3333333333333335E-2</v>
      </c>
      <c r="AF27" s="27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6">
        <v>5.1900000000000004E-4</v>
      </c>
      <c r="AB28" s="26">
        <v>5.38E-5</v>
      </c>
      <c r="AC28" s="26"/>
      <c r="AD28" s="25">
        <v>379</v>
      </c>
      <c r="AE28" s="27">
        <f t="shared" ca="1" si="14"/>
        <v>4.3333333333333335E-2</v>
      </c>
      <c r="AF28" s="27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6">
        <v>5.5599999999999996E-4</v>
      </c>
      <c r="AB29" s="26">
        <v>6.0600000000000003E-5</v>
      </c>
      <c r="AC29" s="26"/>
      <c r="AD29" s="25">
        <v>378</v>
      </c>
      <c r="AE29" s="27">
        <f t="shared" ca="1" si="14"/>
        <v>4.3333333333333335E-2</v>
      </c>
      <c r="AF29" s="27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6">
        <v>5.9599999999999996E-4</v>
      </c>
      <c r="AB30" s="26">
        <v>6.1299999999999999E-5</v>
      </c>
      <c r="AC30" s="26"/>
      <c r="AD30" s="25">
        <v>377</v>
      </c>
      <c r="AE30" s="27">
        <f t="shared" ca="1" si="14"/>
        <v>4.3333333333333335E-2</v>
      </c>
      <c r="AF30" s="27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6">
        <v>6.38E-4</v>
      </c>
      <c r="AB31" s="26">
        <v>5.8900000000000002E-5</v>
      </c>
      <c r="AC31" s="26"/>
      <c r="AD31" s="25">
        <v>376</v>
      </c>
      <c r="AE31" s="27">
        <f t="shared" ca="1" si="14"/>
        <v>4.3333333333333335E-2</v>
      </c>
      <c r="AF31" s="27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6">
        <v>6.8400000000000004E-4</v>
      </c>
      <c r="AB32" s="26">
        <v>5.5899999999999997E-5</v>
      </c>
      <c r="AC32" s="26"/>
      <c r="AD32" s="25">
        <v>375</v>
      </c>
      <c r="AE32" s="27">
        <f t="shared" ca="1" si="14"/>
        <v>4.3333333333333335E-2</v>
      </c>
      <c r="AF32" s="27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6">
        <v>7.3300000000000004E-4</v>
      </c>
      <c r="AB33" s="26">
        <v>5.3699999999999997E-5</v>
      </c>
      <c r="AC33" s="26"/>
      <c r="AD33" s="25">
        <v>374</v>
      </c>
      <c r="AE33" s="27">
        <f t="shared" ca="1" si="14"/>
        <v>4.3333333333333335E-2</v>
      </c>
      <c r="AF33" s="27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6">
        <v>7.85E-4</v>
      </c>
      <c r="AB34" s="26">
        <v>5.3399999999999997E-5</v>
      </c>
      <c r="AC34" s="26"/>
      <c r="AD34" s="25">
        <v>373</v>
      </c>
      <c r="AE34" s="27">
        <f t="shared" ca="1" si="14"/>
        <v>4.3333333333333335E-2</v>
      </c>
      <c r="AF34" s="27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6">
        <v>8.4099999999999995E-4</v>
      </c>
      <c r="AB35" s="26">
        <v>5.3499999999999999E-5</v>
      </c>
      <c r="AC35" s="26"/>
      <c r="AD35" s="25">
        <v>372</v>
      </c>
      <c r="AE35" s="27">
        <f t="shared" ca="1" si="14"/>
        <v>4.3333333333333335E-2</v>
      </c>
      <c r="AF35" s="27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6">
        <v>9.0200000000000002E-4</v>
      </c>
      <c r="AB36" s="26">
        <v>5.5899999999999997E-5</v>
      </c>
      <c r="AC36" s="26"/>
      <c r="AD36" s="25">
        <v>371</v>
      </c>
      <c r="AE36" s="27">
        <f t="shared" ca="1" si="14"/>
        <v>4.3333333333333335E-2</v>
      </c>
      <c r="AF36" s="27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6">
        <v>9.6599999999999995E-4</v>
      </c>
      <c r="AB37" s="26">
        <v>5.3900000000000002E-5</v>
      </c>
      <c r="AC37" s="26"/>
      <c r="AD37" s="25">
        <v>370</v>
      </c>
      <c r="AE37" s="27">
        <f t="shared" ca="1" si="14"/>
        <v>4.3333333333333335E-2</v>
      </c>
      <c r="AF37" s="27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6">
        <v>1.0399999999999999E-3</v>
      </c>
      <c r="AB38" s="26">
        <v>4.99E-5</v>
      </c>
      <c r="AC38" s="26"/>
      <c r="AD38" s="25">
        <v>369</v>
      </c>
      <c r="AE38" s="27">
        <f t="shared" ca="1" si="14"/>
        <v>4.3333333333333335E-2</v>
      </c>
      <c r="AF38" s="27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6">
        <v>1.1100000000000001E-3</v>
      </c>
      <c r="AB39" s="26">
        <v>5.0399999999999999E-5</v>
      </c>
      <c r="AC39" s="26"/>
      <c r="AD39" s="25">
        <v>368</v>
      </c>
      <c r="AE39" s="27">
        <f t="shared" ca="1" si="14"/>
        <v>0.21666666666666667</v>
      </c>
      <c r="AF39" s="27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6">
        <v>1.1900000000000001E-3</v>
      </c>
      <c r="AB40" s="26">
        <v>5.2299999999999997E-5</v>
      </c>
      <c r="AC40" s="26"/>
      <c r="AD40" s="25">
        <v>367</v>
      </c>
      <c r="AE40" s="27">
        <f t="shared" ca="1" si="14"/>
        <v>4.3333333333333335E-2</v>
      </c>
      <c r="AF40" s="27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6">
        <v>1.2700000000000001E-3</v>
      </c>
      <c r="AB41" s="26">
        <v>5.3300000000000001E-5</v>
      </c>
      <c r="AC41" s="26"/>
      <c r="AD41" s="25">
        <v>366</v>
      </c>
      <c r="AE41" s="27">
        <f t="shared" ca="1" si="14"/>
        <v>4.3333333333333335E-2</v>
      </c>
      <c r="AF41" s="27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6">
        <v>1.3600000000000001E-3</v>
      </c>
      <c r="AB42" s="26">
        <v>5.3199999999999999E-5</v>
      </c>
      <c r="AC42" s="26"/>
      <c r="AD42" s="25">
        <v>365</v>
      </c>
      <c r="AE42" s="27">
        <f t="shared" ca="1" si="14"/>
        <v>4.3333333333333335E-2</v>
      </c>
      <c r="AF42" s="27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6">
        <v>1.5100000000000001E-3</v>
      </c>
      <c r="AB43" s="26">
        <v>5.0099999999999998E-5</v>
      </c>
      <c r="AC43" s="26"/>
      <c r="AD43" s="25">
        <v>364</v>
      </c>
      <c r="AE43" s="27">
        <f t="shared" ca="1" si="14"/>
        <v>4.3333333333333335E-2</v>
      </c>
      <c r="AF43" s="27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6">
        <v>2.33E-3</v>
      </c>
      <c r="AB44" s="26">
        <v>4.4499999999999997E-5</v>
      </c>
      <c r="AC44" s="26"/>
      <c r="AD44" s="25">
        <v>363</v>
      </c>
      <c r="AE44" s="27">
        <f t="shared" ca="1" si="14"/>
        <v>4.3333333333333335E-2</v>
      </c>
      <c r="AF44" s="27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6">
        <v>3.5999999999999999E-3</v>
      </c>
      <c r="AB45" s="26">
        <v>3.6100000000000003E-5</v>
      </c>
      <c r="AC45" s="26"/>
      <c r="AD45" s="25">
        <v>362</v>
      </c>
      <c r="AE45" s="27">
        <f t="shared" ca="1" si="14"/>
        <v>4.3333333333333335E-2</v>
      </c>
      <c r="AF45" s="27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6">
        <v>5.5500000000000002E-3</v>
      </c>
      <c r="AB46" s="26">
        <v>3.3200000000000001E-5</v>
      </c>
      <c r="AC46" s="26"/>
      <c r="AD46" s="25">
        <v>361</v>
      </c>
      <c r="AE46" s="27">
        <f t="shared" ca="1" si="14"/>
        <v>4.3333333333333335E-2</v>
      </c>
      <c r="AF46" s="27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6">
        <v>8.5500000000000003E-3</v>
      </c>
      <c r="AB47" s="26">
        <v>3.1399999999999998E-5</v>
      </c>
      <c r="AC47" s="26"/>
      <c r="AD47" s="25">
        <v>360</v>
      </c>
      <c r="AE47" s="27">
        <f t="shared" ca="1" si="14"/>
        <v>4.3333333333333335E-2</v>
      </c>
      <c r="AF47" s="27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6">
        <v>1.32E-2</v>
      </c>
      <c r="AB48" s="26">
        <v>2.7900000000000001E-5</v>
      </c>
      <c r="AC48" s="26"/>
      <c r="AD48" s="25">
        <v>359</v>
      </c>
      <c r="AE48" s="27">
        <f t="shared" ca="1" si="14"/>
        <v>4.3333333333333335E-2</v>
      </c>
      <c r="AF48" s="27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6">
        <v>2.0299999999999999E-2</v>
      </c>
      <c r="AB49" s="26">
        <v>2.4300000000000001E-5</v>
      </c>
      <c r="AC49" s="26"/>
      <c r="AD49" s="25">
        <v>358</v>
      </c>
      <c r="AE49" s="27">
        <f t="shared" ca="1" si="14"/>
        <v>4.3333333333333335E-2</v>
      </c>
      <c r="AF49" s="27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6">
        <v>3.1300000000000001E-2</v>
      </c>
      <c r="AB50" s="26">
        <v>2.1299999999999999E-5</v>
      </c>
      <c r="AC50" s="26"/>
      <c r="AD50" s="25">
        <v>357</v>
      </c>
      <c r="AE50" s="27">
        <f t="shared" ca="1" si="14"/>
        <v>4.3333333333333335E-2</v>
      </c>
      <c r="AF50" s="27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6">
        <v>4.8300000000000003E-2</v>
      </c>
      <c r="AB51" s="26">
        <v>1.7499999999999998E-5</v>
      </c>
      <c r="AC51" s="26"/>
      <c r="AD51" s="25">
        <v>356</v>
      </c>
      <c r="AE51" s="27">
        <f t="shared" ca="1" si="14"/>
        <v>4.3333333333333335E-2</v>
      </c>
      <c r="AF51" s="27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6">
        <v>7.4499999999999997E-2</v>
      </c>
      <c r="AB52" s="26">
        <v>1.34E-5</v>
      </c>
      <c r="AC52" s="26"/>
      <c r="AD52" s="25">
        <v>355</v>
      </c>
      <c r="AE52" s="27">
        <f t="shared" ca="1" si="14"/>
        <v>4.3333333333333335E-2</v>
      </c>
      <c r="AF52" s="27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6">
        <v>0.115</v>
      </c>
      <c r="AB53" s="26">
        <v>9.6800000000000005E-6</v>
      </c>
      <c r="AC53" s="26"/>
      <c r="AD53" s="25">
        <v>354</v>
      </c>
      <c r="AE53" s="27">
        <f t="shared" ca="1" si="14"/>
        <v>4.3333333333333335E-2</v>
      </c>
      <c r="AF53" s="27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6">
        <v>0.17699999999999999</v>
      </c>
      <c r="AB54" s="26">
        <v>7.1899999999999998E-6</v>
      </c>
      <c r="AC54" s="26"/>
      <c r="AD54" s="25">
        <v>353</v>
      </c>
      <c r="AE54" s="27">
        <f t="shared" ca="1" si="14"/>
        <v>4.3333333333333335E-2</v>
      </c>
      <c r="AF54" s="27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6">
        <v>0.27300000000000002</v>
      </c>
      <c r="AB55" s="26">
        <v>4.3499999999999999E-6</v>
      </c>
      <c r="AC55" s="26"/>
      <c r="AD55" s="25">
        <v>352</v>
      </c>
      <c r="AE55" s="27">
        <f t="shared" ca="1" si="14"/>
        <v>4.3333333333333335E-2</v>
      </c>
      <c r="AF55" s="27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6">
        <v>0.42099999999999999</v>
      </c>
      <c r="AB56" s="26">
        <v>2.3599999999999999E-6</v>
      </c>
      <c r="AC56" s="26"/>
      <c r="AD56" s="25">
        <v>351</v>
      </c>
      <c r="AE56" s="27">
        <f t="shared" ca="1" si="14"/>
        <v>4.3333333333333335E-2</v>
      </c>
      <c r="AF56" s="27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6">
        <v>0.64900000000000002</v>
      </c>
      <c r="AB57" s="26">
        <v>8.6400000000000001E-7</v>
      </c>
      <c r="AC57" s="26"/>
      <c r="AD57" s="25">
        <v>350</v>
      </c>
      <c r="AE57" s="27">
        <f t="shared" ca="1" si="14"/>
        <v>4.3333333333333335E-2</v>
      </c>
      <c r="AF57" s="27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6">
        <v>1</v>
      </c>
      <c r="AB58" s="26">
        <v>3.3700000000000001E-7</v>
      </c>
      <c r="AC58" s="26"/>
      <c r="AD58" s="25">
        <v>349</v>
      </c>
      <c r="AE58" s="27">
        <f t="shared" ca="1" si="14"/>
        <v>4.3333333333333335E-2</v>
      </c>
      <c r="AF58" s="27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6">
        <v>1</v>
      </c>
      <c r="AB59" s="26">
        <v>1.2800000000000001E-7</v>
      </c>
      <c r="AC59" s="26"/>
      <c r="AD59" s="25">
        <v>348</v>
      </c>
      <c r="AE59" s="27">
        <f t="shared" ca="1" si="14"/>
        <v>4.3333333333333335E-2</v>
      </c>
      <c r="AF59" s="27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6">
        <v>1</v>
      </c>
      <c r="AB60" s="26">
        <v>2.92E-8</v>
      </c>
      <c r="AC60" s="26"/>
      <c r="AD60" s="25">
        <v>347</v>
      </c>
      <c r="AE60" s="27">
        <f t="shared" ca="1" si="14"/>
        <v>4.3333333333333335E-2</v>
      </c>
      <c r="AF60" s="27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6">
        <v>1</v>
      </c>
      <c r="AB61" s="26">
        <v>2.8499999999999999E-9</v>
      </c>
      <c r="AC61" s="26"/>
      <c r="AD61" s="25">
        <v>346</v>
      </c>
      <c r="AE61" s="27">
        <f t="shared" ca="1" si="14"/>
        <v>4.3333333333333335E-2</v>
      </c>
      <c r="AF61" s="27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6">
        <v>1</v>
      </c>
      <c r="AB62" s="26">
        <v>3.0900000000000002E-10</v>
      </c>
      <c r="AC62" s="26"/>
      <c r="AD62" s="25">
        <v>345</v>
      </c>
      <c r="AE62" s="27">
        <f t="shared" ca="1" si="14"/>
        <v>4.3333333333333335E-2</v>
      </c>
      <c r="AF62" s="27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6">
        <v>1</v>
      </c>
      <c r="AB63" s="26">
        <v>6.4699999999999994E-11</v>
      </c>
      <c r="AC63" s="26"/>
      <c r="AD63" s="25">
        <v>344</v>
      </c>
      <c r="AE63" s="27">
        <f t="shared" ca="1" si="14"/>
        <v>4.3333333333333335E-2</v>
      </c>
      <c r="AF63" s="27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6">
        <v>1</v>
      </c>
      <c r="AB64" s="26">
        <v>4.0600000000000001E-11</v>
      </c>
      <c r="AC64" s="26"/>
      <c r="AD64" s="25">
        <v>343</v>
      </c>
      <c r="AE64" s="27">
        <f t="shared" ca="1" si="14"/>
        <v>4.3333333333333335E-2</v>
      </c>
      <c r="AF64" s="27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6">
        <v>1</v>
      </c>
      <c r="AB65" s="26">
        <v>3.1400000000000003E-11</v>
      </c>
      <c r="AC65" s="26"/>
      <c r="AD65" s="25">
        <v>342</v>
      </c>
      <c r="AE65" s="27">
        <f t="shared" ca="1" si="14"/>
        <v>4.3333333333333335E-2</v>
      </c>
      <c r="AF65" s="27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6">
        <v>1</v>
      </c>
      <c r="AB66" s="26">
        <v>2.37E-11</v>
      </c>
      <c r="AC66" s="26"/>
      <c r="AD66" s="25">
        <v>341</v>
      </c>
      <c r="AE66" s="27">
        <f t="shared" ca="1" si="14"/>
        <v>4.3333333333333335E-2</v>
      </c>
      <c r="AF66" s="27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6">
        <v>1</v>
      </c>
      <c r="AB67" s="26">
        <v>4.1199999999999997E-11</v>
      </c>
      <c r="AC67" s="26"/>
      <c r="AD67" s="25">
        <v>340</v>
      </c>
      <c r="AE67" s="27">
        <f t="shared" ca="1" si="14"/>
        <v>4.3333333333333335E-2</v>
      </c>
      <c r="AF67" s="27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133</v>
      </c>
      <c r="Y68" s="29">
        <f>SUMPRODUCT(AA7:AA67,AB7:AB67)</f>
        <v>1.0854396E-5</v>
      </c>
      <c r="Z68" s="29">
        <f>SUMPRODUCT(AA7:AA67,AB7:AB67)</f>
        <v>1.0854396E-5</v>
      </c>
      <c r="AA68" s="29"/>
      <c r="AB68" s="29"/>
      <c r="AC68" s="29"/>
      <c r="AD68" s="25">
        <v>339</v>
      </c>
      <c r="AE68" s="22">
        <f t="shared" ca="1" si="14"/>
        <v>4.3333333333333335E-2</v>
      </c>
      <c r="AF68" s="2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134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9"/>
      <c r="AB69" s="29"/>
      <c r="AC69" s="29"/>
      <c r="AD69" s="25">
        <v>338</v>
      </c>
      <c r="AE69" s="22">
        <f t="shared" ca="1" si="14"/>
        <v>4.3333333333333335E-2</v>
      </c>
      <c r="AF69" s="2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124</v>
      </c>
      <c r="Y70" s="29">
        <f ca="1">Y68/Y69</f>
        <v>22.842138059815493</v>
      </c>
      <c r="Z70" s="29">
        <f t="shared" ref="Z70" ca="1" si="22">Z68/Z69</f>
        <v>100.21885383985033</v>
      </c>
      <c r="AA70" s="29"/>
      <c r="AB70" s="29"/>
      <c r="AC70" s="29"/>
      <c r="AD70" s="25">
        <v>337</v>
      </c>
      <c r="AE70" s="22">
        <f t="shared" ca="1" si="14"/>
        <v>4.3333333333333335E-2</v>
      </c>
      <c r="AF70" s="2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22">
        <v>336</v>
      </c>
      <c r="AE71" s="22">
        <f t="shared" ca="1" si="14"/>
        <v>4.3333333333333335E-2</v>
      </c>
      <c r="AF71" s="22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22">
        <v>335</v>
      </c>
      <c r="AE72" s="22">
        <f t="shared" ref="AE72:AE92" ca="1" si="23">AVERAGE(Q95:S95)</f>
        <v>4.3333333333333335E-2</v>
      </c>
      <c r="AF72" s="22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22">
        <v>334</v>
      </c>
      <c r="AE73" s="22">
        <f t="shared" ca="1" si="23"/>
        <v>4.3333333333333335E-2</v>
      </c>
      <c r="AF73" s="22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22">
        <v>333</v>
      </c>
      <c r="AE74" s="22">
        <f t="shared" ca="1" si="23"/>
        <v>4.3333333333333335E-2</v>
      </c>
      <c r="AF74" s="22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22">
        <v>332</v>
      </c>
      <c r="AE75" s="22">
        <f t="shared" ca="1" si="23"/>
        <v>4.3333333333333335E-2</v>
      </c>
      <c r="AF75" s="22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22">
        <v>331</v>
      </c>
      <c r="AE76" s="22">
        <f t="shared" ca="1" si="23"/>
        <v>4.3333333333333335E-2</v>
      </c>
      <c r="AF76" s="22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22">
        <v>330</v>
      </c>
      <c r="AE77" s="22">
        <f t="shared" ca="1" si="23"/>
        <v>4.3333333333333335E-2</v>
      </c>
      <c r="AF77" s="22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22">
        <v>329</v>
      </c>
      <c r="AE78" s="22">
        <f t="shared" ca="1" si="23"/>
        <v>4.3333333333333335E-2</v>
      </c>
      <c r="AF78" s="22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22">
        <v>328</v>
      </c>
      <c r="AE79" s="22">
        <f t="shared" ca="1" si="23"/>
        <v>4.3333333333333335E-2</v>
      </c>
      <c r="AF79" s="22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22">
        <v>327</v>
      </c>
      <c r="AE80" s="22">
        <f t="shared" ca="1" si="23"/>
        <v>4.3333333333333335E-2</v>
      </c>
      <c r="AF80" s="22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22">
        <v>326</v>
      </c>
      <c r="AE81" s="22">
        <f t="shared" ca="1" si="23"/>
        <v>4.3333333333333335E-2</v>
      </c>
      <c r="AF81" s="22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22">
        <v>325</v>
      </c>
      <c r="AE82" s="22">
        <f t="shared" ca="1" si="23"/>
        <v>4.3333333333333335E-2</v>
      </c>
      <c r="AF82" s="22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22">
        <v>324</v>
      </c>
      <c r="AE83" s="22">
        <f t="shared" ca="1" si="23"/>
        <v>4.3333333333333335E-2</v>
      </c>
      <c r="AF83" s="22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22">
        <v>323</v>
      </c>
      <c r="AE84" s="22">
        <f t="shared" ca="1" si="23"/>
        <v>4.3333333333333335E-2</v>
      </c>
      <c r="AF84" s="22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22">
        <v>322</v>
      </c>
      <c r="AE85" s="22">
        <f t="shared" ca="1" si="23"/>
        <v>4.3333333333333335E-2</v>
      </c>
      <c r="AF85" s="22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22">
        <v>321</v>
      </c>
      <c r="AE86" s="22">
        <f t="shared" ca="1" si="23"/>
        <v>4.3333333333333335E-2</v>
      </c>
      <c r="AF86" s="22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22">
        <v>320</v>
      </c>
      <c r="AE87" s="22">
        <f t="shared" ca="1" si="23"/>
        <v>4.3333333333333335E-2</v>
      </c>
      <c r="AF87" s="22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22">
        <v>319</v>
      </c>
      <c r="AE88" s="22">
        <f t="shared" ca="1" si="23"/>
        <v>4.3333333333333335E-2</v>
      </c>
      <c r="AF88" s="22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22">
        <v>318</v>
      </c>
      <c r="AE89" s="22">
        <f t="shared" ca="1" si="23"/>
        <v>4.3333333333333335E-2</v>
      </c>
      <c r="AF89" s="22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22">
        <v>317</v>
      </c>
      <c r="AE90" s="22">
        <f t="shared" ca="1" si="23"/>
        <v>4.3333333333333335E-2</v>
      </c>
      <c r="AF90" s="22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22">
        <v>316</v>
      </c>
      <c r="AE91" s="22">
        <f t="shared" ca="1" si="23"/>
        <v>4.3333333333333335E-2</v>
      </c>
      <c r="AF91" s="22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22">
        <v>315</v>
      </c>
      <c r="AE92" s="22">
        <f t="shared" ca="1" si="23"/>
        <v>4.3333333333333335E-2</v>
      </c>
      <c r="AF92" s="22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135</v>
      </c>
      <c r="AE93" s="22">
        <f t="shared" ref="AE93:AF93" ca="1" si="25">SUM(AE7:AE92)</f>
        <v>3.900000000000007</v>
      </c>
      <c r="AF93" s="22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136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5.75" x14ac:dyDescent="0.2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22" t="s">
        <v>137</v>
      </c>
      <c r="AE95" s="22">
        <f t="shared" ref="AE95:AF95" ca="1" si="32">AE93/AE94</f>
        <v>4.5348837209302405E-2</v>
      </c>
      <c r="AF95" s="22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22" t="s">
        <v>44</v>
      </c>
      <c r="AE97" s="22"/>
      <c r="AF97" s="22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22" t="s">
        <v>25</v>
      </c>
      <c r="AE98" s="22" t="s">
        <v>26</v>
      </c>
      <c r="AF98" s="22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22" t="s">
        <v>1</v>
      </c>
      <c r="AE99" s="22" t="s">
        <v>27</v>
      </c>
      <c r="AF99" s="22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22">
        <f ca="1">AVERAGE(Q115:S115)</f>
        <v>4.3333333333333335E-2</v>
      </c>
      <c r="AF100" s="22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22">
        <f t="shared" ref="AE101:AE135" ca="1" si="33">AVERAGE(Q116:S116)</f>
        <v>4.3333333333333335E-2</v>
      </c>
      <c r="AF101" s="22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22">
        <f t="shared" ca="1" si="33"/>
        <v>4.3333333333333335E-2</v>
      </c>
      <c r="AF102" s="22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22">
        <f t="shared" ca="1" si="33"/>
        <v>4.3333333333333335E-2</v>
      </c>
      <c r="AF103" s="22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22">
        <f t="shared" ca="1" si="33"/>
        <v>4.3333333333333335E-2</v>
      </c>
      <c r="AF104" s="22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22">
        <f t="shared" ca="1" si="33"/>
        <v>4.3333333333333335E-2</v>
      </c>
      <c r="AF105" s="22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22">
        <f t="shared" ca="1" si="33"/>
        <v>4.3333333333333335E-2</v>
      </c>
      <c r="AF106" s="22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22">
        <f t="shared" ca="1" si="33"/>
        <v>4.3333333333333335E-2</v>
      </c>
      <c r="AF107" s="22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22">
        <f t="shared" ca="1" si="33"/>
        <v>4.3333333333333335E-2</v>
      </c>
      <c r="AF108" s="22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22">
        <f t="shared" ca="1" si="33"/>
        <v>4.3333333333333335E-2</v>
      </c>
      <c r="AF109" s="22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22">
        <f t="shared" ca="1" si="33"/>
        <v>4.3333333333333335E-2</v>
      </c>
      <c r="AF110" s="22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22">
        <f t="shared" ca="1" si="33"/>
        <v>4.3333333333333335E-2</v>
      </c>
      <c r="AF111" s="22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22">
        <f t="shared" ca="1" si="33"/>
        <v>4.3333333333333335E-2</v>
      </c>
      <c r="AF112" s="22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22">
        <f t="shared" ca="1" si="33"/>
        <v>4.3333333333333335E-2</v>
      </c>
      <c r="AF113" s="22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22">
        <f t="shared" ca="1" si="33"/>
        <v>4.3333333333333335E-2</v>
      </c>
      <c r="AF114" s="22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22">
        <f t="shared" ca="1" si="33"/>
        <v>4.3333333333333335E-2</v>
      </c>
      <c r="AF115" s="22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22">
        <f t="shared" ca="1" si="33"/>
        <v>4.3333333333333335E-2</v>
      </c>
      <c r="AF116" s="22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22">
        <f t="shared" ca="1" si="33"/>
        <v>4.3333333333333335E-2</v>
      </c>
      <c r="AF117" s="22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22">
        <f t="shared" ca="1" si="33"/>
        <v>4.3333333333333335E-2</v>
      </c>
      <c r="AF118" s="22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22">
        <f t="shared" ca="1" si="33"/>
        <v>4.3333333333333335E-2</v>
      </c>
      <c r="AF119" s="22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22">
        <f t="shared" ca="1" si="33"/>
        <v>4.3333333333333335E-2</v>
      </c>
      <c r="AF120" s="22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22">
        <f t="shared" ca="1" si="33"/>
        <v>4.3333333333333335E-2</v>
      </c>
      <c r="AF121" s="22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22">
        <f t="shared" ca="1" si="33"/>
        <v>4.3333333333333335E-2</v>
      </c>
      <c r="AF122" s="22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22">
        <f t="shared" ca="1" si="33"/>
        <v>4.3333333333333335E-2</v>
      </c>
      <c r="AF123" s="22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22">
        <f t="shared" ca="1" si="33"/>
        <v>4.3333333333333335E-2</v>
      </c>
      <c r="AF124" s="22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22">
        <f t="shared" ca="1" si="33"/>
        <v>4.3333333333333335E-2</v>
      </c>
      <c r="AF125" s="22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22">
        <f t="shared" ca="1" si="33"/>
        <v>4.3333333333333335E-2</v>
      </c>
      <c r="AF126" s="22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22">
        <f t="shared" ca="1" si="33"/>
        <v>4.3333333333333335E-2</v>
      </c>
      <c r="AF127" s="22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22">
        <f t="shared" ca="1" si="33"/>
        <v>4.3333333333333335E-2</v>
      </c>
      <c r="AF128" s="22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22">
        <f t="shared" ca="1" si="33"/>
        <v>4.3333333333333335E-2</v>
      </c>
      <c r="AF129" s="22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22">
        <f t="shared" ca="1" si="33"/>
        <v>4.3333333333333335E-2</v>
      </c>
      <c r="AF130" s="22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22">
        <f t="shared" ca="1" si="33"/>
        <v>4.3333333333333335E-2</v>
      </c>
      <c r="AF131" s="22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22">
        <f t="shared" ca="1" si="33"/>
        <v>4.3333333333333335E-2</v>
      </c>
      <c r="AF132" s="22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22">
        <f t="shared" ca="1" si="33"/>
        <v>4.3333333333333335E-2</v>
      </c>
      <c r="AF133" s="22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22">
        <f t="shared" ca="1" si="33"/>
        <v>4.3333333333333335E-2</v>
      </c>
      <c r="AF134" s="22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22">
        <f t="shared" ca="1" si="33"/>
        <v>4.3333333333333335E-2</v>
      </c>
      <c r="AF135" s="22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135</v>
      </c>
      <c r="AE136" s="22">
        <f ca="1">SUM(AE100:AE135)</f>
        <v>1.5600000000000014</v>
      </c>
      <c r="AF136" s="22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136</v>
      </c>
      <c r="AE137" s="22">
        <v>36</v>
      </c>
      <c r="AF137" s="2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5.75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22" t="s">
        <v>138</v>
      </c>
      <c r="AE138" s="22">
        <f ca="1">AE136/AE137</f>
        <v>4.333333333333337E-2</v>
      </c>
      <c r="AF138" s="22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D1EBB-35C9-49C0-8D96-13DDF60FCC03}">
  <sheetPr codeName="Sheet9"/>
  <dimension ref="A1:AN150"/>
  <sheetViews>
    <sheetView topLeftCell="H1" workbookViewId="0">
      <selection activeCell="AD7" sqref="AD7:AD70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121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122</v>
      </c>
      <c r="Y2" s="6"/>
      <c r="Z2" s="6"/>
      <c r="AA2" s="6"/>
      <c r="AB2" s="6"/>
      <c r="AC2" s="6"/>
      <c r="AD2" s="6" t="s">
        <v>21</v>
      </c>
      <c r="AE2" s="6" t="s">
        <v>37</v>
      </c>
      <c r="AF2" s="24" t="s">
        <v>123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21</v>
      </c>
      <c r="Y3" s="9" t="s">
        <v>124</v>
      </c>
      <c r="Z3" s="12" t="s">
        <v>125</v>
      </c>
      <c r="AA3" s="9"/>
      <c r="AB3" s="9"/>
      <c r="AC3" s="9"/>
      <c r="AD3" s="9"/>
      <c r="AE3" s="22"/>
      <c r="AF3" s="6" t="s">
        <v>126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127</v>
      </c>
      <c r="AA4" s="6"/>
      <c r="AB4" s="6"/>
      <c r="AC4" s="6"/>
      <c r="AD4" s="6" t="s">
        <v>128</v>
      </c>
      <c r="AE4" s="22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6" t="s">
        <v>129</v>
      </c>
      <c r="AB5" s="6" t="s">
        <v>130</v>
      </c>
      <c r="AC5" s="6"/>
      <c r="AD5" s="6" t="s">
        <v>25</v>
      </c>
      <c r="AE5" s="23" t="s">
        <v>26</v>
      </c>
      <c r="AF5" s="23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6" t="s">
        <v>131</v>
      </c>
      <c r="AB6" s="6" t="s">
        <v>132</v>
      </c>
      <c r="AC6" s="6"/>
      <c r="AD6" s="6" t="s">
        <v>1</v>
      </c>
      <c r="AE6" s="23" t="s">
        <v>27</v>
      </c>
      <c r="AF6" s="23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6">
        <v>1.22E-4</v>
      </c>
      <c r="AB7" s="26">
        <v>1.01E-4</v>
      </c>
      <c r="AC7" s="26"/>
      <c r="AD7" s="25">
        <v>400</v>
      </c>
      <c r="AE7" s="27">
        <f ca="1">AVERAGE(Q30:S30)</f>
        <v>3.6666666666666667E-2</v>
      </c>
      <c r="AF7" s="27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6">
        <v>1.2999999999999999E-4</v>
      </c>
      <c r="AB8" s="26">
        <v>8.0099999999999995E-5</v>
      </c>
      <c r="AC8" s="26"/>
      <c r="AD8" s="25">
        <v>399</v>
      </c>
      <c r="AE8" s="27">
        <f t="shared" ref="AE8:AE71" ca="1" si="14">AVERAGE(Q31:S31)</f>
        <v>4.3333333333333335E-2</v>
      </c>
      <c r="AF8" s="27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6">
        <v>1.3999999999999999E-4</v>
      </c>
      <c r="AB9" s="26">
        <v>6.8100000000000002E-5</v>
      </c>
      <c r="AC9" s="26"/>
      <c r="AD9" s="25">
        <v>398</v>
      </c>
      <c r="AE9" s="27">
        <f t="shared" ca="1" si="14"/>
        <v>5.000000000000001E-2</v>
      </c>
      <c r="AF9" s="27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6">
        <v>1.4999999999999999E-4</v>
      </c>
      <c r="AB10" s="26">
        <v>6.5500000000000006E-5</v>
      </c>
      <c r="AC10" s="26"/>
      <c r="AD10" s="25">
        <v>397</v>
      </c>
      <c r="AE10" s="27">
        <f t="shared" ca="1" si="14"/>
        <v>4.3333333333333335E-2</v>
      </c>
      <c r="AF10" s="27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6">
        <v>1.6000000000000001E-4</v>
      </c>
      <c r="AB11" s="26">
        <v>7.1600000000000006E-5</v>
      </c>
      <c r="AC11" s="26"/>
      <c r="AD11" s="25">
        <v>396</v>
      </c>
      <c r="AE11" s="27">
        <f t="shared" ca="1" si="14"/>
        <v>4.3333333333333335E-2</v>
      </c>
      <c r="AF11" s="27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6">
        <v>1.7200000000000001E-4</v>
      </c>
      <c r="AB12" s="26">
        <v>7.5699999999999997E-5</v>
      </c>
      <c r="AC12" s="26"/>
      <c r="AD12" s="25">
        <v>395</v>
      </c>
      <c r="AE12" s="27">
        <f t="shared" ca="1" si="14"/>
        <v>4.3333333333333335E-2</v>
      </c>
      <c r="AF12" s="27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6">
        <v>1.84E-4</v>
      </c>
      <c r="AB13" s="26">
        <v>6.7199999999999994E-5</v>
      </c>
      <c r="AC13" s="26"/>
      <c r="AD13" s="25">
        <v>394</v>
      </c>
      <c r="AE13" s="27">
        <f t="shared" ca="1" si="14"/>
        <v>4.3333333333333335E-2</v>
      </c>
      <c r="AF13" s="27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6">
        <v>1.9699999999999999E-4</v>
      </c>
      <c r="AB14" s="26">
        <v>6.2600000000000004E-5</v>
      </c>
      <c r="AC14" s="26"/>
      <c r="AD14" s="25">
        <v>393</v>
      </c>
      <c r="AE14" s="27">
        <f t="shared" ca="1" si="14"/>
        <v>4.3333333333333335E-2</v>
      </c>
      <c r="AF14" s="27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6">
        <v>2.1100000000000001E-4</v>
      </c>
      <c r="AB15" s="26">
        <v>5.8499999999999999E-5</v>
      </c>
      <c r="AC15" s="26"/>
      <c r="AD15" s="25">
        <v>392</v>
      </c>
      <c r="AE15" s="27">
        <f t="shared" ca="1" si="14"/>
        <v>4.3333333333333335E-2</v>
      </c>
      <c r="AF15" s="27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6">
        <v>2.2599999999999999E-4</v>
      </c>
      <c r="AB16" s="26">
        <v>6.4200000000000002E-5</v>
      </c>
      <c r="AC16" s="26"/>
      <c r="AD16" s="25">
        <v>391</v>
      </c>
      <c r="AE16" s="27">
        <f t="shared" ca="1" si="14"/>
        <v>4.3333333333333335E-2</v>
      </c>
      <c r="AF16" s="27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6">
        <v>2.43E-4</v>
      </c>
      <c r="AB17" s="26">
        <v>7.5400000000000003E-5</v>
      </c>
      <c r="AC17" s="26"/>
      <c r="AD17" s="25">
        <v>390</v>
      </c>
      <c r="AE17" s="27">
        <f t="shared" ca="1" si="14"/>
        <v>4.3333333333333335E-2</v>
      </c>
      <c r="AF17" s="27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6">
        <v>2.5999999999999998E-4</v>
      </c>
      <c r="AB18" s="26">
        <v>7.4599999999999997E-5</v>
      </c>
      <c r="AC18" s="26"/>
      <c r="AD18" s="25">
        <v>389</v>
      </c>
      <c r="AE18" s="27">
        <f t="shared" ca="1" si="14"/>
        <v>4.3333333333333335E-2</v>
      </c>
      <c r="AF18" s="27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6">
        <v>2.7900000000000001E-4</v>
      </c>
      <c r="AB19" s="26">
        <v>6.6600000000000006E-5</v>
      </c>
      <c r="AC19" s="26"/>
      <c r="AD19" s="25">
        <v>388</v>
      </c>
      <c r="AE19" s="27">
        <f t="shared" ca="1" si="14"/>
        <v>4.3333333333333335E-2</v>
      </c>
      <c r="AF19" s="27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6">
        <v>2.99E-4</v>
      </c>
      <c r="AB20" s="26">
        <v>6.6099999999999994E-5</v>
      </c>
      <c r="AC20" s="26"/>
      <c r="AD20" s="25">
        <v>387</v>
      </c>
      <c r="AE20" s="27">
        <f t="shared" ca="1" si="14"/>
        <v>4.3333333333333335E-2</v>
      </c>
      <c r="AF20" s="27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6">
        <v>3.2000000000000003E-4</v>
      </c>
      <c r="AB21" s="26">
        <v>7.4999999999999993E-5</v>
      </c>
      <c r="AC21" s="26"/>
      <c r="AD21" s="25">
        <v>386</v>
      </c>
      <c r="AE21" s="27">
        <f t="shared" ca="1" si="14"/>
        <v>4.3333333333333335E-2</v>
      </c>
      <c r="AF21" s="27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6">
        <v>3.4299999999999999E-4</v>
      </c>
      <c r="AB22" s="26">
        <v>7.6600000000000005E-5</v>
      </c>
      <c r="AC22" s="26"/>
      <c r="AD22" s="25">
        <v>385</v>
      </c>
      <c r="AE22" s="27">
        <f t="shared" ca="1" si="14"/>
        <v>4.3333333333333335E-2</v>
      </c>
      <c r="AF22" s="27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6">
        <v>3.6699999999999998E-4</v>
      </c>
      <c r="AB23" s="26">
        <v>7.6199999999999995E-5</v>
      </c>
      <c r="AC23" s="26"/>
      <c r="AD23" s="25">
        <v>384</v>
      </c>
      <c r="AE23" s="27">
        <f t="shared" ca="1" si="14"/>
        <v>4.3333333333333335E-2</v>
      </c>
      <c r="AF23" s="27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6">
        <v>3.9399999999999998E-4</v>
      </c>
      <c r="AB24" s="26">
        <v>7.1799999999999997E-5</v>
      </c>
      <c r="AC24" s="26"/>
      <c r="AD24" s="25">
        <v>383</v>
      </c>
      <c r="AE24" s="27">
        <f t="shared" ca="1" si="14"/>
        <v>4.3333333333333335E-2</v>
      </c>
      <c r="AF24" s="27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6">
        <v>4.2200000000000001E-4</v>
      </c>
      <c r="AB25" s="26">
        <v>6.4800000000000003E-5</v>
      </c>
      <c r="AC25" s="26"/>
      <c r="AD25" s="25">
        <v>382</v>
      </c>
      <c r="AE25" s="27">
        <f t="shared" ca="1" si="14"/>
        <v>4.3333333333333335E-2</v>
      </c>
      <c r="AF25" s="27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6">
        <v>4.5199999999999998E-4</v>
      </c>
      <c r="AB26" s="26">
        <v>6.0000000000000002E-5</v>
      </c>
      <c r="AC26" s="26"/>
      <c r="AD26" s="25">
        <v>381</v>
      </c>
      <c r="AE26" s="27">
        <f t="shared" ca="1" si="14"/>
        <v>4.3333333333333335E-2</v>
      </c>
      <c r="AF26" s="27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6">
        <v>4.84E-4</v>
      </c>
      <c r="AB27" s="26">
        <v>5.6400000000000002E-5</v>
      </c>
      <c r="AC27" s="26"/>
      <c r="AD27" s="25">
        <v>380</v>
      </c>
      <c r="AE27" s="27">
        <f t="shared" ca="1" si="14"/>
        <v>4.3333333333333335E-2</v>
      </c>
      <c r="AF27" s="27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6">
        <v>5.1900000000000004E-4</v>
      </c>
      <c r="AB28" s="26">
        <v>5.38E-5</v>
      </c>
      <c r="AC28" s="26"/>
      <c r="AD28" s="25">
        <v>379</v>
      </c>
      <c r="AE28" s="27">
        <f t="shared" ca="1" si="14"/>
        <v>4.3333333333333335E-2</v>
      </c>
      <c r="AF28" s="27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6">
        <v>5.5599999999999996E-4</v>
      </c>
      <c r="AB29" s="26">
        <v>6.0600000000000003E-5</v>
      </c>
      <c r="AC29" s="26"/>
      <c r="AD29" s="25">
        <v>378</v>
      </c>
      <c r="AE29" s="27">
        <f t="shared" ca="1" si="14"/>
        <v>4.3333333333333335E-2</v>
      </c>
      <c r="AF29" s="27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6">
        <v>5.9599999999999996E-4</v>
      </c>
      <c r="AB30" s="26">
        <v>6.1299999999999999E-5</v>
      </c>
      <c r="AC30" s="26"/>
      <c r="AD30" s="25">
        <v>377</v>
      </c>
      <c r="AE30" s="27">
        <f t="shared" ca="1" si="14"/>
        <v>4.3333333333333335E-2</v>
      </c>
      <c r="AF30" s="27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6">
        <v>6.38E-4</v>
      </c>
      <c r="AB31" s="26">
        <v>5.8900000000000002E-5</v>
      </c>
      <c r="AC31" s="26"/>
      <c r="AD31" s="25">
        <v>376</v>
      </c>
      <c r="AE31" s="27">
        <f t="shared" ca="1" si="14"/>
        <v>4.3333333333333335E-2</v>
      </c>
      <c r="AF31" s="27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6">
        <v>6.8400000000000004E-4</v>
      </c>
      <c r="AB32" s="26">
        <v>5.5899999999999997E-5</v>
      </c>
      <c r="AC32" s="26"/>
      <c r="AD32" s="25">
        <v>375</v>
      </c>
      <c r="AE32" s="27">
        <f t="shared" ca="1" si="14"/>
        <v>4.3333333333333335E-2</v>
      </c>
      <c r="AF32" s="27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6">
        <v>7.3300000000000004E-4</v>
      </c>
      <c r="AB33" s="26">
        <v>5.3699999999999997E-5</v>
      </c>
      <c r="AC33" s="26"/>
      <c r="AD33" s="25">
        <v>374</v>
      </c>
      <c r="AE33" s="27">
        <f t="shared" ca="1" si="14"/>
        <v>4.3333333333333335E-2</v>
      </c>
      <c r="AF33" s="27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6">
        <v>7.85E-4</v>
      </c>
      <c r="AB34" s="26">
        <v>5.3399999999999997E-5</v>
      </c>
      <c r="AC34" s="26"/>
      <c r="AD34" s="25">
        <v>373</v>
      </c>
      <c r="AE34" s="27">
        <f t="shared" ca="1" si="14"/>
        <v>4.3333333333333335E-2</v>
      </c>
      <c r="AF34" s="27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6">
        <v>8.4099999999999995E-4</v>
      </c>
      <c r="AB35" s="26">
        <v>5.3499999999999999E-5</v>
      </c>
      <c r="AC35" s="26"/>
      <c r="AD35" s="25">
        <v>372</v>
      </c>
      <c r="AE35" s="27">
        <f t="shared" ca="1" si="14"/>
        <v>4.3333333333333335E-2</v>
      </c>
      <c r="AF35" s="27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6">
        <v>9.0200000000000002E-4</v>
      </c>
      <c r="AB36" s="26">
        <v>5.5899999999999997E-5</v>
      </c>
      <c r="AC36" s="26"/>
      <c r="AD36" s="25">
        <v>371</v>
      </c>
      <c r="AE36" s="27">
        <f t="shared" ca="1" si="14"/>
        <v>4.3333333333333335E-2</v>
      </c>
      <c r="AF36" s="27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6">
        <v>9.6599999999999995E-4</v>
      </c>
      <c r="AB37" s="26">
        <v>5.3900000000000002E-5</v>
      </c>
      <c r="AC37" s="26"/>
      <c r="AD37" s="25">
        <v>370</v>
      </c>
      <c r="AE37" s="27">
        <f t="shared" ca="1" si="14"/>
        <v>4.3333333333333335E-2</v>
      </c>
      <c r="AF37" s="27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6">
        <v>1.0399999999999999E-3</v>
      </c>
      <c r="AB38" s="26">
        <v>4.99E-5</v>
      </c>
      <c r="AC38" s="26"/>
      <c r="AD38" s="25">
        <v>369</v>
      </c>
      <c r="AE38" s="27">
        <f t="shared" ca="1" si="14"/>
        <v>4.3333333333333335E-2</v>
      </c>
      <c r="AF38" s="27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6">
        <v>1.1100000000000001E-3</v>
      </c>
      <c r="AB39" s="26">
        <v>5.0399999999999999E-5</v>
      </c>
      <c r="AC39" s="26"/>
      <c r="AD39" s="25">
        <v>368</v>
      </c>
      <c r="AE39" s="27">
        <f t="shared" ca="1" si="14"/>
        <v>0.21666666666666667</v>
      </c>
      <c r="AF39" s="27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6">
        <v>1.1900000000000001E-3</v>
      </c>
      <c r="AB40" s="26">
        <v>5.2299999999999997E-5</v>
      </c>
      <c r="AC40" s="26"/>
      <c r="AD40" s="25">
        <v>367</v>
      </c>
      <c r="AE40" s="27">
        <f t="shared" ca="1" si="14"/>
        <v>4.3333333333333335E-2</v>
      </c>
      <c r="AF40" s="27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6">
        <v>1.2700000000000001E-3</v>
      </c>
      <c r="AB41" s="26">
        <v>5.3300000000000001E-5</v>
      </c>
      <c r="AC41" s="26"/>
      <c r="AD41" s="25">
        <v>366</v>
      </c>
      <c r="AE41" s="27">
        <f t="shared" ca="1" si="14"/>
        <v>4.3333333333333335E-2</v>
      </c>
      <c r="AF41" s="27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6">
        <v>1.3600000000000001E-3</v>
      </c>
      <c r="AB42" s="26">
        <v>5.3199999999999999E-5</v>
      </c>
      <c r="AC42" s="26"/>
      <c r="AD42" s="25">
        <v>365</v>
      </c>
      <c r="AE42" s="27">
        <f t="shared" ca="1" si="14"/>
        <v>4.3333333333333335E-2</v>
      </c>
      <c r="AF42" s="27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6">
        <v>1.5100000000000001E-3</v>
      </c>
      <c r="AB43" s="26">
        <v>5.0099999999999998E-5</v>
      </c>
      <c r="AC43" s="26"/>
      <c r="AD43" s="25">
        <v>364</v>
      </c>
      <c r="AE43" s="27">
        <f t="shared" ca="1" si="14"/>
        <v>4.3333333333333335E-2</v>
      </c>
      <c r="AF43" s="27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6">
        <v>2.33E-3</v>
      </c>
      <c r="AB44" s="26">
        <v>4.4499999999999997E-5</v>
      </c>
      <c r="AC44" s="26"/>
      <c r="AD44" s="25">
        <v>363</v>
      </c>
      <c r="AE44" s="27">
        <f t="shared" ca="1" si="14"/>
        <v>4.3333333333333335E-2</v>
      </c>
      <c r="AF44" s="27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6">
        <v>3.5999999999999999E-3</v>
      </c>
      <c r="AB45" s="26">
        <v>3.6100000000000003E-5</v>
      </c>
      <c r="AC45" s="26"/>
      <c r="AD45" s="25">
        <v>362</v>
      </c>
      <c r="AE45" s="27">
        <f t="shared" ca="1" si="14"/>
        <v>4.3333333333333335E-2</v>
      </c>
      <c r="AF45" s="27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6">
        <v>5.5500000000000002E-3</v>
      </c>
      <c r="AB46" s="26">
        <v>3.3200000000000001E-5</v>
      </c>
      <c r="AC46" s="26"/>
      <c r="AD46" s="25">
        <v>361</v>
      </c>
      <c r="AE46" s="27">
        <f t="shared" ca="1" si="14"/>
        <v>4.3333333333333335E-2</v>
      </c>
      <c r="AF46" s="27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6">
        <v>8.5500000000000003E-3</v>
      </c>
      <c r="AB47" s="26">
        <v>3.1399999999999998E-5</v>
      </c>
      <c r="AC47" s="26"/>
      <c r="AD47" s="25">
        <v>360</v>
      </c>
      <c r="AE47" s="27">
        <f t="shared" ca="1" si="14"/>
        <v>4.3333333333333335E-2</v>
      </c>
      <c r="AF47" s="27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6">
        <v>1.32E-2</v>
      </c>
      <c r="AB48" s="26">
        <v>2.7900000000000001E-5</v>
      </c>
      <c r="AC48" s="26"/>
      <c r="AD48" s="25">
        <v>359</v>
      </c>
      <c r="AE48" s="27">
        <f t="shared" ca="1" si="14"/>
        <v>4.3333333333333335E-2</v>
      </c>
      <c r="AF48" s="27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6">
        <v>2.0299999999999999E-2</v>
      </c>
      <c r="AB49" s="26">
        <v>2.4300000000000001E-5</v>
      </c>
      <c r="AC49" s="26"/>
      <c r="AD49" s="25">
        <v>358</v>
      </c>
      <c r="AE49" s="27">
        <f t="shared" ca="1" si="14"/>
        <v>4.3333333333333335E-2</v>
      </c>
      <c r="AF49" s="27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6">
        <v>3.1300000000000001E-2</v>
      </c>
      <c r="AB50" s="26">
        <v>2.1299999999999999E-5</v>
      </c>
      <c r="AC50" s="26"/>
      <c r="AD50" s="25">
        <v>357</v>
      </c>
      <c r="AE50" s="27">
        <f t="shared" ca="1" si="14"/>
        <v>4.3333333333333335E-2</v>
      </c>
      <c r="AF50" s="27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6">
        <v>4.8300000000000003E-2</v>
      </c>
      <c r="AB51" s="26">
        <v>1.7499999999999998E-5</v>
      </c>
      <c r="AC51" s="26"/>
      <c r="AD51" s="25">
        <v>356</v>
      </c>
      <c r="AE51" s="27">
        <f t="shared" ca="1" si="14"/>
        <v>4.3333333333333335E-2</v>
      </c>
      <c r="AF51" s="27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6">
        <v>7.4499999999999997E-2</v>
      </c>
      <c r="AB52" s="26">
        <v>1.34E-5</v>
      </c>
      <c r="AC52" s="26"/>
      <c r="AD52" s="25">
        <v>355</v>
      </c>
      <c r="AE52" s="27">
        <f t="shared" ca="1" si="14"/>
        <v>4.3333333333333335E-2</v>
      </c>
      <c r="AF52" s="27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6">
        <v>0.115</v>
      </c>
      <c r="AB53" s="26">
        <v>9.6800000000000005E-6</v>
      </c>
      <c r="AC53" s="26"/>
      <c r="AD53" s="25">
        <v>354</v>
      </c>
      <c r="AE53" s="27">
        <f t="shared" ca="1" si="14"/>
        <v>4.3333333333333335E-2</v>
      </c>
      <c r="AF53" s="27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6">
        <v>0.17699999999999999</v>
      </c>
      <c r="AB54" s="26">
        <v>7.1899999999999998E-6</v>
      </c>
      <c r="AC54" s="26"/>
      <c r="AD54" s="25">
        <v>353</v>
      </c>
      <c r="AE54" s="27">
        <f t="shared" ca="1" si="14"/>
        <v>4.3333333333333335E-2</v>
      </c>
      <c r="AF54" s="27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6">
        <v>0.27300000000000002</v>
      </c>
      <c r="AB55" s="26">
        <v>4.3499999999999999E-6</v>
      </c>
      <c r="AC55" s="26"/>
      <c r="AD55" s="25">
        <v>352</v>
      </c>
      <c r="AE55" s="27">
        <f t="shared" ca="1" si="14"/>
        <v>4.3333333333333335E-2</v>
      </c>
      <c r="AF55" s="27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6">
        <v>0.42099999999999999</v>
      </c>
      <c r="AB56" s="26">
        <v>2.3599999999999999E-6</v>
      </c>
      <c r="AC56" s="26"/>
      <c r="AD56" s="25">
        <v>351</v>
      </c>
      <c r="AE56" s="27">
        <f t="shared" ca="1" si="14"/>
        <v>4.3333333333333335E-2</v>
      </c>
      <c r="AF56" s="27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6">
        <v>0.64900000000000002</v>
      </c>
      <c r="AB57" s="26">
        <v>8.6400000000000001E-7</v>
      </c>
      <c r="AC57" s="26"/>
      <c r="AD57" s="25">
        <v>350</v>
      </c>
      <c r="AE57" s="27">
        <f t="shared" ca="1" si="14"/>
        <v>4.3333333333333335E-2</v>
      </c>
      <c r="AF57" s="27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6">
        <v>1</v>
      </c>
      <c r="AB58" s="26">
        <v>3.3700000000000001E-7</v>
      </c>
      <c r="AC58" s="26"/>
      <c r="AD58" s="25">
        <v>349</v>
      </c>
      <c r="AE58" s="27">
        <f t="shared" ca="1" si="14"/>
        <v>4.3333333333333335E-2</v>
      </c>
      <c r="AF58" s="27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6">
        <v>1</v>
      </c>
      <c r="AB59" s="26">
        <v>1.2800000000000001E-7</v>
      </c>
      <c r="AC59" s="26"/>
      <c r="AD59" s="25">
        <v>348</v>
      </c>
      <c r="AE59" s="27">
        <f t="shared" ca="1" si="14"/>
        <v>4.3333333333333335E-2</v>
      </c>
      <c r="AF59" s="27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6">
        <v>1</v>
      </c>
      <c r="AB60" s="26">
        <v>2.92E-8</v>
      </c>
      <c r="AC60" s="26"/>
      <c r="AD60" s="25">
        <v>347</v>
      </c>
      <c r="AE60" s="27">
        <f t="shared" ca="1" si="14"/>
        <v>4.3333333333333335E-2</v>
      </c>
      <c r="AF60" s="27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6">
        <v>1</v>
      </c>
      <c r="AB61" s="26">
        <v>2.8499999999999999E-9</v>
      </c>
      <c r="AC61" s="26"/>
      <c r="AD61" s="25">
        <v>346</v>
      </c>
      <c r="AE61" s="27">
        <f t="shared" ca="1" si="14"/>
        <v>4.3333333333333335E-2</v>
      </c>
      <c r="AF61" s="27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6">
        <v>1</v>
      </c>
      <c r="AB62" s="26">
        <v>3.0900000000000002E-10</v>
      </c>
      <c r="AC62" s="26"/>
      <c r="AD62" s="25">
        <v>345</v>
      </c>
      <c r="AE62" s="27">
        <f t="shared" ca="1" si="14"/>
        <v>4.3333333333333335E-2</v>
      </c>
      <c r="AF62" s="27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6">
        <v>1</v>
      </c>
      <c r="AB63" s="26">
        <v>6.4699999999999994E-11</v>
      </c>
      <c r="AC63" s="26"/>
      <c r="AD63" s="25">
        <v>344</v>
      </c>
      <c r="AE63" s="27">
        <f t="shared" ca="1" si="14"/>
        <v>4.3333333333333335E-2</v>
      </c>
      <c r="AF63" s="27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6">
        <v>1</v>
      </c>
      <c r="AB64" s="26">
        <v>4.0600000000000001E-11</v>
      </c>
      <c r="AC64" s="26"/>
      <c r="AD64" s="25">
        <v>343</v>
      </c>
      <c r="AE64" s="27">
        <f t="shared" ca="1" si="14"/>
        <v>4.3333333333333335E-2</v>
      </c>
      <c r="AF64" s="27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6">
        <v>1</v>
      </c>
      <c r="AB65" s="26">
        <v>3.1400000000000003E-11</v>
      </c>
      <c r="AC65" s="26"/>
      <c r="AD65" s="25">
        <v>342</v>
      </c>
      <c r="AE65" s="27">
        <f t="shared" ca="1" si="14"/>
        <v>4.3333333333333335E-2</v>
      </c>
      <c r="AF65" s="27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6">
        <v>1</v>
      </c>
      <c r="AB66" s="26">
        <v>2.37E-11</v>
      </c>
      <c r="AC66" s="26"/>
      <c r="AD66" s="25">
        <v>341</v>
      </c>
      <c r="AE66" s="27">
        <f t="shared" ca="1" si="14"/>
        <v>4.3333333333333335E-2</v>
      </c>
      <c r="AF66" s="27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6">
        <v>1</v>
      </c>
      <c r="AB67" s="26">
        <v>4.1199999999999997E-11</v>
      </c>
      <c r="AC67" s="26"/>
      <c r="AD67" s="25">
        <v>340</v>
      </c>
      <c r="AE67" s="27">
        <f t="shared" ca="1" si="14"/>
        <v>4.3333333333333335E-2</v>
      </c>
      <c r="AF67" s="27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133</v>
      </c>
      <c r="Y68" s="29">
        <f>SUMPRODUCT(AA7:AA67,AB7:AB67)</f>
        <v>1.0854396E-5</v>
      </c>
      <c r="Z68" s="29">
        <f>SUMPRODUCT(AA7:AA67,AB7:AB67)</f>
        <v>1.0854396E-5</v>
      </c>
      <c r="AA68" s="29"/>
      <c r="AB68" s="29"/>
      <c r="AC68" s="29"/>
      <c r="AD68" s="25">
        <v>339</v>
      </c>
      <c r="AE68" s="22">
        <f t="shared" ca="1" si="14"/>
        <v>4.3333333333333335E-2</v>
      </c>
      <c r="AF68" s="2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134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9"/>
      <c r="AB69" s="29"/>
      <c r="AC69" s="29"/>
      <c r="AD69" s="25">
        <v>338</v>
      </c>
      <c r="AE69" s="22">
        <f t="shared" ca="1" si="14"/>
        <v>4.3333333333333335E-2</v>
      </c>
      <c r="AF69" s="2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124</v>
      </c>
      <c r="Y70" s="29">
        <f ca="1">Y68/Y69</f>
        <v>22.842138059815493</v>
      </c>
      <c r="Z70" s="29">
        <f t="shared" ref="Z70" ca="1" si="22">Z68/Z69</f>
        <v>100.21885383985033</v>
      </c>
      <c r="AA70" s="29"/>
      <c r="AB70" s="29"/>
      <c r="AC70" s="29"/>
      <c r="AD70" s="25">
        <v>337</v>
      </c>
      <c r="AE70" s="22">
        <f t="shared" ca="1" si="14"/>
        <v>4.3333333333333335E-2</v>
      </c>
      <c r="AF70" s="2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22">
        <v>336</v>
      </c>
      <c r="AE71" s="22">
        <f t="shared" ca="1" si="14"/>
        <v>4.3333333333333335E-2</v>
      </c>
      <c r="AF71" s="22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22">
        <v>335</v>
      </c>
      <c r="AE72" s="22">
        <f t="shared" ref="AE72:AE92" ca="1" si="23">AVERAGE(Q95:S95)</f>
        <v>4.3333333333333335E-2</v>
      </c>
      <c r="AF72" s="22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22">
        <v>334</v>
      </c>
      <c r="AE73" s="22">
        <f t="shared" ca="1" si="23"/>
        <v>4.3333333333333335E-2</v>
      </c>
      <c r="AF73" s="22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22">
        <v>333</v>
      </c>
      <c r="AE74" s="22">
        <f t="shared" ca="1" si="23"/>
        <v>4.3333333333333335E-2</v>
      </c>
      <c r="AF74" s="22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22">
        <v>332</v>
      </c>
      <c r="AE75" s="22">
        <f t="shared" ca="1" si="23"/>
        <v>4.3333333333333335E-2</v>
      </c>
      <c r="AF75" s="22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22">
        <v>331</v>
      </c>
      <c r="AE76" s="22">
        <f t="shared" ca="1" si="23"/>
        <v>4.3333333333333335E-2</v>
      </c>
      <c r="AF76" s="22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22">
        <v>330</v>
      </c>
      <c r="AE77" s="22">
        <f t="shared" ca="1" si="23"/>
        <v>4.3333333333333335E-2</v>
      </c>
      <c r="AF77" s="22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22">
        <v>329</v>
      </c>
      <c r="AE78" s="22">
        <f t="shared" ca="1" si="23"/>
        <v>4.3333333333333335E-2</v>
      </c>
      <c r="AF78" s="22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22">
        <v>328</v>
      </c>
      <c r="AE79" s="22">
        <f t="shared" ca="1" si="23"/>
        <v>4.3333333333333335E-2</v>
      </c>
      <c r="AF79" s="22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22">
        <v>327</v>
      </c>
      <c r="AE80" s="22">
        <f t="shared" ca="1" si="23"/>
        <v>4.3333333333333335E-2</v>
      </c>
      <c r="AF80" s="22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22">
        <v>326</v>
      </c>
      <c r="AE81" s="22">
        <f t="shared" ca="1" si="23"/>
        <v>4.3333333333333335E-2</v>
      </c>
      <c r="AF81" s="22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22">
        <v>325</v>
      </c>
      <c r="AE82" s="22">
        <f t="shared" ca="1" si="23"/>
        <v>4.3333333333333335E-2</v>
      </c>
      <c r="AF82" s="22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22">
        <v>324</v>
      </c>
      <c r="AE83" s="22">
        <f t="shared" ca="1" si="23"/>
        <v>4.3333333333333335E-2</v>
      </c>
      <c r="AF83" s="22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22">
        <v>323</v>
      </c>
      <c r="AE84" s="22">
        <f t="shared" ca="1" si="23"/>
        <v>4.3333333333333335E-2</v>
      </c>
      <c r="AF84" s="22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22">
        <v>322</v>
      </c>
      <c r="AE85" s="22">
        <f t="shared" ca="1" si="23"/>
        <v>4.3333333333333335E-2</v>
      </c>
      <c r="AF85" s="22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22">
        <v>321</v>
      </c>
      <c r="AE86" s="22">
        <f t="shared" ca="1" si="23"/>
        <v>4.3333333333333335E-2</v>
      </c>
      <c r="AF86" s="22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22">
        <v>320</v>
      </c>
      <c r="AE87" s="22">
        <f t="shared" ca="1" si="23"/>
        <v>4.3333333333333335E-2</v>
      </c>
      <c r="AF87" s="22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22">
        <v>319</v>
      </c>
      <c r="AE88" s="22">
        <f t="shared" ca="1" si="23"/>
        <v>4.3333333333333335E-2</v>
      </c>
      <c r="AF88" s="22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22">
        <v>318</v>
      </c>
      <c r="AE89" s="22">
        <f t="shared" ca="1" si="23"/>
        <v>4.3333333333333335E-2</v>
      </c>
      <c r="AF89" s="22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22">
        <v>317</v>
      </c>
      <c r="AE90" s="22">
        <f t="shared" ca="1" si="23"/>
        <v>4.3333333333333335E-2</v>
      </c>
      <c r="AF90" s="22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22">
        <v>316</v>
      </c>
      <c r="AE91" s="22">
        <f t="shared" ca="1" si="23"/>
        <v>4.3333333333333335E-2</v>
      </c>
      <c r="AF91" s="22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22">
        <v>315</v>
      </c>
      <c r="AE92" s="22">
        <f t="shared" ca="1" si="23"/>
        <v>4.3333333333333335E-2</v>
      </c>
      <c r="AF92" s="22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135</v>
      </c>
      <c r="AE93" s="22">
        <f t="shared" ref="AE93:AF93" ca="1" si="25">SUM(AE7:AE92)</f>
        <v>3.900000000000007</v>
      </c>
      <c r="AF93" s="22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136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5.75" x14ac:dyDescent="0.2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22" t="s">
        <v>137</v>
      </c>
      <c r="AE95" s="22">
        <f t="shared" ref="AE95:AF95" ca="1" si="32">AE93/AE94</f>
        <v>4.5348837209302405E-2</v>
      </c>
      <c r="AF95" s="22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22" t="s">
        <v>44</v>
      </c>
      <c r="AE97" s="22"/>
      <c r="AF97" s="22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22" t="s">
        <v>25</v>
      </c>
      <c r="AE98" s="22" t="s">
        <v>26</v>
      </c>
      <c r="AF98" s="22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22" t="s">
        <v>1</v>
      </c>
      <c r="AE99" s="22" t="s">
        <v>27</v>
      </c>
      <c r="AF99" s="22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22">
        <f ca="1">AVERAGE(Q115:S115)</f>
        <v>4.3333333333333335E-2</v>
      </c>
      <c r="AF100" s="22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22">
        <f t="shared" ref="AE101:AE135" ca="1" si="33">AVERAGE(Q116:S116)</f>
        <v>4.3333333333333335E-2</v>
      </c>
      <c r="AF101" s="22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22">
        <f t="shared" ca="1" si="33"/>
        <v>4.3333333333333335E-2</v>
      </c>
      <c r="AF102" s="22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22">
        <f t="shared" ca="1" si="33"/>
        <v>4.3333333333333335E-2</v>
      </c>
      <c r="AF103" s="22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22">
        <f t="shared" ca="1" si="33"/>
        <v>4.3333333333333335E-2</v>
      </c>
      <c r="AF104" s="22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22">
        <f t="shared" ca="1" si="33"/>
        <v>4.3333333333333335E-2</v>
      </c>
      <c r="AF105" s="22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22">
        <f t="shared" ca="1" si="33"/>
        <v>4.3333333333333335E-2</v>
      </c>
      <c r="AF106" s="22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22">
        <f t="shared" ca="1" si="33"/>
        <v>4.3333333333333335E-2</v>
      </c>
      <c r="AF107" s="22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22">
        <f t="shared" ca="1" si="33"/>
        <v>4.3333333333333335E-2</v>
      </c>
      <c r="AF108" s="22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22">
        <f t="shared" ca="1" si="33"/>
        <v>4.3333333333333335E-2</v>
      </c>
      <c r="AF109" s="22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22">
        <f t="shared" ca="1" si="33"/>
        <v>4.3333333333333335E-2</v>
      </c>
      <c r="AF110" s="22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22">
        <f t="shared" ca="1" si="33"/>
        <v>4.3333333333333335E-2</v>
      </c>
      <c r="AF111" s="22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22">
        <f t="shared" ca="1" si="33"/>
        <v>4.3333333333333335E-2</v>
      </c>
      <c r="AF112" s="22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22">
        <f t="shared" ca="1" si="33"/>
        <v>4.3333333333333335E-2</v>
      </c>
      <c r="AF113" s="22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22">
        <f t="shared" ca="1" si="33"/>
        <v>4.3333333333333335E-2</v>
      </c>
      <c r="AF114" s="22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22">
        <f t="shared" ca="1" si="33"/>
        <v>4.3333333333333335E-2</v>
      </c>
      <c r="AF115" s="22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22">
        <f t="shared" ca="1" si="33"/>
        <v>4.3333333333333335E-2</v>
      </c>
      <c r="AF116" s="22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22">
        <f t="shared" ca="1" si="33"/>
        <v>4.3333333333333335E-2</v>
      </c>
      <c r="AF117" s="22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22">
        <f t="shared" ca="1" si="33"/>
        <v>4.3333333333333335E-2</v>
      </c>
      <c r="AF118" s="22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22">
        <f t="shared" ca="1" si="33"/>
        <v>4.3333333333333335E-2</v>
      </c>
      <c r="AF119" s="22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22">
        <f t="shared" ca="1" si="33"/>
        <v>4.3333333333333335E-2</v>
      </c>
      <c r="AF120" s="22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22">
        <f t="shared" ca="1" si="33"/>
        <v>4.3333333333333335E-2</v>
      </c>
      <c r="AF121" s="22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22">
        <f t="shared" ca="1" si="33"/>
        <v>4.3333333333333335E-2</v>
      </c>
      <c r="AF122" s="22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22">
        <f t="shared" ca="1" si="33"/>
        <v>4.3333333333333335E-2</v>
      </c>
      <c r="AF123" s="22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22">
        <f t="shared" ca="1" si="33"/>
        <v>4.3333333333333335E-2</v>
      </c>
      <c r="AF124" s="22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22">
        <f t="shared" ca="1" si="33"/>
        <v>4.3333333333333335E-2</v>
      </c>
      <c r="AF125" s="22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22">
        <f t="shared" ca="1" si="33"/>
        <v>4.3333333333333335E-2</v>
      </c>
      <c r="AF126" s="22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22">
        <f t="shared" ca="1" si="33"/>
        <v>4.3333333333333335E-2</v>
      </c>
      <c r="AF127" s="22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22">
        <f t="shared" ca="1" si="33"/>
        <v>4.3333333333333335E-2</v>
      </c>
      <c r="AF128" s="22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22">
        <f t="shared" ca="1" si="33"/>
        <v>4.3333333333333335E-2</v>
      </c>
      <c r="AF129" s="22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22">
        <f t="shared" ca="1" si="33"/>
        <v>4.3333333333333335E-2</v>
      </c>
      <c r="AF130" s="22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22">
        <f t="shared" ca="1" si="33"/>
        <v>4.3333333333333335E-2</v>
      </c>
      <c r="AF131" s="22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22">
        <f t="shared" ca="1" si="33"/>
        <v>4.3333333333333335E-2</v>
      </c>
      <c r="AF132" s="22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22">
        <f t="shared" ca="1" si="33"/>
        <v>4.3333333333333335E-2</v>
      </c>
      <c r="AF133" s="22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22">
        <f t="shared" ca="1" si="33"/>
        <v>4.3333333333333335E-2</v>
      </c>
      <c r="AF134" s="22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22">
        <f t="shared" ca="1" si="33"/>
        <v>4.3333333333333335E-2</v>
      </c>
      <c r="AF135" s="22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135</v>
      </c>
      <c r="AE136" s="22">
        <f ca="1">SUM(AE100:AE135)</f>
        <v>1.5600000000000014</v>
      </c>
      <c r="AF136" s="22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136</v>
      </c>
      <c r="AE137" s="22">
        <v>36</v>
      </c>
      <c r="AF137" s="2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5.75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22" t="s">
        <v>138</v>
      </c>
      <c r="AE138" s="22">
        <f ca="1">AE136/AE137</f>
        <v>4.333333333333337E-2</v>
      </c>
      <c r="AF138" s="22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D4EFB-ED85-4CB8-9E5C-F4DD86AE898B}">
  <sheetPr codeName="Sheet10"/>
  <dimension ref="A1:AN150"/>
  <sheetViews>
    <sheetView topLeftCell="N61" workbookViewId="0">
      <selection activeCell="AD7" sqref="AD7:AD70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121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122</v>
      </c>
      <c r="Y2" s="6"/>
      <c r="Z2" s="6"/>
      <c r="AA2" s="6"/>
      <c r="AB2" s="6"/>
      <c r="AC2" s="6"/>
      <c r="AD2" s="6" t="s">
        <v>21</v>
      </c>
      <c r="AE2" s="6" t="s">
        <v>37</v>
      </c>
      <c r="AF2" s="24" t="s">
        <v>123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21</v>
      </c>
      <c r="Y3" s="9" t="s">
        <v>124</v>
      </c>
      <c r="Z3" s="12" t="s">
        <v>125</v>
      </c>
      <c r="AA3" s="9"/>
      <c r="AB3" s="9"/>
      <c r="AC3" s="9"/>
      <c r="AD3" s="9"/>
      <c r="AE3" s="22"/>
      <c r="AF3" s="6" t="s">
        <v>126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127</v>
      </c>
      <c r="AA4" s="6"/>
      <c r="AB4" s="6"/>
      <c r="AC4" s="6"/>
      <c r="AD4" s="6" t="s">
        <v>128</v>
      </c>
      <c r="AE4" s="22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6" t="s">
        <v>129</v>
      </c>
      <c r="AB5" s="6" t="s">
        <v>130</v>
      </c>
      <c r="AC5" s="6"/>
      <c r="AD5" s="6" t="s">
        <v>25</v>
      </c>
      <c r="AE5" s="23" t="s">
        <v>26</v>
      </c>
      <c r="AF5" s="23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6" t="s">
        <v>131</v>
      </c>
      <c r="AB6" s="6" t="s">
        <v>132</v>
      </c>
      <c r="AC6" s="6"/>
      <c r="AD6" s="6" t="s">
        <v>1</v>
      </c>
      <c r="AE6" s="23" t="s">
        <v>27</v>
      </c>
      <c r="AF6" s="23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6">
        <v>1.22E-4</v>
      </c>
      <c r="AB7" s="26">
        <v>1.01E-4</v>
      </c>
      <c r="AC7" s="26"/>
      <c r="AD7" s="25">
        <v>400</v>
      </c>
      <c r="AE7" s="27">
        <f ca="1">AVERAGE(Q30:S30)</f>
        <v>3.6666666666666667E-2</v>
      </c>
      <c r="AF7" s="27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6">
        <v>1.2999999999999999E-4</v>
      </c>
      <c r="AB8" s="26">
        <v>8.0099999999999995E-5</v>
      </c>
      <c r="AC8" s="26"/>
      <c r="AD8" s="25">
        <v>399</v>
      </c>
      <c r="AE8" s="27">
        <f t="shared" ref="AE8:AE71" ca="1" si="14">AVERAGE(Q31:S31)</f>
        <v>4.3333333333333335E-2</v>
      </c>
      <c r="AF8" s="27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6">
        <v>1.3999999999999999E-4</v>
      </c>
      <c r="AB9" s="26">
        <v>6.8100000000000002E-5</v>
      </c>
      <c r="AC9" s="26"/>
      <c r="AD9" s="25">
        <v>398</v>
      </c>
      <c r="AE9" s="27">
        <f t="shared" ca="1" si="14"/>
        <v>5.000000000000001E-2</v>
      </c>
      <c r="AF9" s="27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6">
        <v>1.4999999999999999E-4</v>
      </c>
      <c r="AB10" s="26">
        <v>6.5500000000000006E-5</v>
      </c>
      <c r="AC10" s="26"/>
      <c r="AD10" s="25">
        <v>397</v>
      </c>
      <c r="AE10" s="27">
        <f t="shared" ca="1" si="14"/>
        <v>4.3333333333333335E-2</v>
      </c>
      <c r="AF10" s="27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6">
        <v>1.6000000000000001E-4</v>
      </c>
      <c r="AB11" s="26">
        <v>7.1600000000000006E-5</v>
      </c>
      <c r="AC11" s="26"/>
      <c r="AD11" s="25">
        <v>396</v>
      </c>
      <c r="AE11" s="27">
        <f t="shared" ca="1" si="14"/>
        <v>4.3333333333333335E-2</v>
      </c>
      <c r="AF11" s="27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6">
        <v>1.7200000000000001E-4</v>
      </c>
      <c r="AB12" s="26">
        <v>7.5699999999999997E-5</v>
      </c>
      <c r="AC12" s="26"/>
      <c r="AD12" s="25">
        <v>395</v>
      </c>
      <c r="AE12" s="27">
        <f t="shared" ca="1" si="14"/>
        <v>4.3333333333333335E-2</v>
      </c>
      <c r="AF12" s="27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6">
        <v>1.84E-4</v>
      </c>
      <c r="AB13" s="26">
        <v>6.7199999999999994E-5</v>
      </c>
      <c r="AC13" s="26"/>
      <c r="AD13" s="25">
        <v>394</v>
      </c>
      <c r="AE13" s="27">
        <f t="shared" ca="1" si="14"/>
        <v>4.3333333333333335E-2</v>
      </c>
      <c r="AF13" s="27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6">
        <v>1.9699999999999999E-4</v>
      </c>
      <c r="AB14" s="26">
        <v>6.2600000000000004E-5</v>
      </c>
      <c r="AC14" s="26"/>
      <c r="AD14" s="25">
        <v>393</v>
      </c>
      <c r="AE14" s="27">
        <f t="shared" ca="1" si="14"/>
        <v>4.3333333333333335E-2</v>
      </c>
      <c r="AF14" s="27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6">
        <v>2.1100000000000001E-4</v>
      </c>
      <c r="AB15" s="26">
        <v>5.8499999999999999E-5</v>
      </c>
      <c r="AC15" s="26"/>
      <c r="AD15" s="25">
        <v>392</v>
      </c>
      <c r="AE15" s="27">
        <f t="shared" ca="1" si="14"/>
        <v>4.3333333333333335E-2</v>
      </c>
      <c r="AF15" s="27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6">
        <v>2.2599999999999999E-4</v>
      </c>
      <c r="AB16" s="26">
        <v>6.4200000000000002E-5</v>
      </c>
      <c r="AC16" s="26"/>
      <c r="AD16" s="25">
        <v>391</v>
      </c>
      <c r="AE16" s="27">
        <f t="shared" ca="1" si="14"/>
        <v>4.3333333333333335E-2</v>
      </c>
      <c r="AF16" s="27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6">
        <v>2.43E-4</v>
      </c>
      <c r="AB17" s="26">
        <v>7.5400000000000003E-5</v>
      </c>
      <c r="AC17" s="26"/>
      <c r="AD17" s="25">
        <v>390</v>
      </c>
      <c r="AE17" s="27">
        <f t="shared" ca="1" si="14"/>
        <v>4.3333333333333335E-2</v>
      </c>
      <c r="AF17" s="27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6">
        <v>2.5999999999999998E-4</v>
      </c>
      <c r="AB18" s="26">
        <v>7.4599999999999997E-5</v>
      </c>
      <c r="AC18" s="26"/>
      <c r="AD18" s="25">
        <v>389</v>
      </c>
      <c r="AE18" s="27">
        <f t="shared" ca="1" si="14"/>
        <v>4.3333333333333335E-2</v>
      </c>
      <c r="AF18" s="27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6">
        <v>2.7900000000000001E-4</v>
      </c>
      <c r="AB19" s="26">
        <v>6.6600000000000006E-5</v>
      </c>
      <c r="AC19" s="26"/>
      <c r="AD19" s="25">
        <v>388</v>
      </c>
      <c r="AE19" s="27">
        <f t="shared" ca="1" si="14"/>
        <v>4.3333333333333335E-2</v>
      </c>
      <c r="AF19" s="27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6">
        <v>2.99E-4</v>
      </c>
      <c r="AB20" s="26">
        <v>6.6099999999999994E-5</v>
      </c>
      <c r="AC20" s="26"/>
      <c r="AD20" s="25">
        <v>387</v>
      </c>
      <c r="AE20" s="27">
        <f t="shared" ca="1" si="14"/>
        <v>4.3333333333333335E-2</v>
      </c>
      <c r="AF20" s="27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6">
        <v>3.2000000000000003E-4</v>
      </c>
      <c r="AB21" s="26">
        <v>7.4999999999999993E-5</v>
      </c>
      <c r="AC21" s="26"/>
      <c r="AD21" s="25">
        <v>386</v>
      </c>
      <c r="AE21" s="27">
        <f t="shared" ca="1" si="14"/>
        <v>4.3333333333333335E-2</v>
      </c>
      <c r="AF21" s="27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6">
        <v>3.4299999999999999E-4</v>
      </c>
      <c r="AB22" s="26">
        <v>7.6600000000000005E-5</v>
      </c>
      <c r="AC22" s="26"/>
      <c r="AD22" s="25">
        <v>385</v>
      </c>
      <c r="AE22" s="27">
        <f t="shared" ca="1" si="14"/>
        <v>4.3333333333333335E-2</v>
      </c>
      <c r="AF22" s="27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6">
        <v>3.6699999999999998E-4</v>
      </c>
      <c r="AB23" s="26">
        <v>7.6199999999999995E-5</v>
      </c>
      <c r="AC23" s="26"/>
      <c r="AD23" s="25">
        <v>384</v>
      </c>
      <c r="AE23" s="27">
        <f t="shared" ca="1" si="14"/>
        <v>4.3333333333333335E-2</v>
      </c>
      <c r="AF23" s="27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6">
        <v>3.9399999999999998E-4</v>
      </c>
      <c r="AB24" s="26">
        <v>7.1799999999999997E-5</v>
      </c>
      <c r="AC24" s="26"/>
      <c r="AD24" s="25">
        <v>383</v>
      </c>
      <c r="AE24" s="27">
        <f t="shared" ca="1" si="14"/>
        <v>4.3333333333333335E-2</v>
      </c>
      <c r="AF24" s="27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6">
        <v>4.2200000000000001E-4</v>
      </c>
      <c r="AB25" s="26">
        <v>6.4800000000000003E-5</v>
      </c>
      <c r="AC25" s="26"/>
      <c r="AD25" s="25">
        <v>382</v>
      </c>
      <c r="AE25" s="27">
        <f t="shared" ca="1" si="14"/>
        <v>4.3333333333333335E-2</v>
      </c>
      <c r="AF25" s="27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6">
        <v>4.5199999999999998E-4</v>
      </c>
      <c r="AB26" s="26">
        <v>6.0000000000000002E-5</v>
      </c>
      <c r="AC26" s="26"/>
      <c r="AD26" s="25">
        <v>381</v>
      </c>
      <c r="AE26" s="27">
        <f t="shared" ca="1" si="14"/>
        <v>4.3333333333333335E-2</v>
      </c>
      <c r="AF26" s="27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6">
        <v>4.84E-4</v>
      </c>
      <c r="AB27" s="26">
        <v>5.6400000000000002E-5</v>
      </c>
      <c r="AC27" s="26"/>
      <c r="AD27" s="25">
        <v>380</v>
      </c>
      <c r="AE27" s="27">
        <f t="shared" ca="1" si="14"/>
        <v>4.3333333333333335E-2</v>
      </c>
      <c r="AF27" s="27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6">
        <v>5.1900000000000004E-4</v>
      </c>
      <c r="AB28" s="26">
        <v>5.38E-5</v>
      </c>
      <c r="AC28" s="26"/>
      <c r="AD28" s="25">
        <v>379</v>
      </c>
      <c r="AE28" s="27">
        <f t="shared" ca="1" si="14"/>
        <v>4.3333333333333335E-2</v>
      </c>
      <c r="AF28" s="27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6">
        <v>5.5599999999999996E-4</v>
      </c>
      <c r="AB29" s="26">
        <v>6.0600000000000003E-5</v>
      </c>
      <c r="AC29" s="26"/>
      <c r="AD29" s="25">
        <v>378</v>
      </c>
      <c r="AE29" s="27">
        <f t="shared" ca="1" si="14"/>
        <v>4.3333333333333335E-2</v>
      </c>
      <c r="AF29" s="27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6">
        <v>5.9599999999999996E-4</v>
      </c>
      <c r="AB30" s="26">
        <v>6.1299999999999999E-5</v>
      </c>
      <c r="AC30" s="26"/>
      <c r="AD30" s="25">
        <v>377</v>
      </c>
      <c r="AE30" s="27">
        <f t="shared" ca="1" si="14"/>
        <v>4.3333333333333335E-2</v>
      </c>
      <c r="AF30" s="27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6">
        <v>6.38E-4</v>
      </c>
      <c r="AB31" s="26">
        <v>5.8900000000000002E-5</v>
      </c>
      <c r="AC31" s="26"/>
      <c r="AD31" s="25">
        <v>376</v>
      </c>
      <c r="AE31" s="27">
        <f t="shared" ca="1" si="14"/>
        <v>4.3333333333333335E-2</v>
      </c>
      <c r="AF31" s="27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6">
        <v>6.8400000000000004E-4</v>
      </c>
      <c r="AB32" s="26">
        <v>5.5899999999999997E-5</v>
      </c>
      <c r="AC32" s="26"/>
      <c r="AD32" s="25">
        <v>375</v>
      </c>
      <c r="AE32" s="27">
        <f t="shared" ca="1" si="14"/>
        <v>4.3333333333333335E-2</v>
      </c>
      <c r="AF32" s="27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6">
        <v>7.3300000000000004E-4</v>
      </c>
      <c r="AB33" s="26">
        <v>5.3699999999999997E-5</v>
      </c>
      <c r="AC33" s="26"/>
      <c r="AD33" s="25">
        <v>374</v>
      </c>
      <c r="AE33" s="27">
        <f t="shared" ca="1" si="14"/>
        <v>4.3333333333333335E-2</v>
      </c>
      <c r="AF33" s="27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6">
        <v>7.85E-4</v>
      </c>
      <c r="AB34" s="26">
        <v>5.3399999999999997E-5</v>
      </c>
      <c r="AC34" s="26"/>
      <c r="AD34" s="25">
        <v>373</v>
      </c>
      <c r="AE34" s="27">
        <f t="shared" ca="1" si="14"/>
        <v>4.3333333333333335E-2</v>
      </c>
      <c r="AF34" s="27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6">
        <v>8.4099999999999995E-4</v>
      </c>
      <c r="AB35" s="26">
        <v>5.3499999999999999E-5</v>
      </c>
      <c r="AC35" s="26"/>
      <c r="AD35" s="25">
        <v>372</v>
      </c>
      <c r="AE35" s="27">
        <f t="shared" ca="1" si="14"/>
        <v>4.3333333333333335E-2</v>
      </c>
      <c r="AF35" s="27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6">
        <v>9.0200000000000002E-4</v>
      </c>
      <c r="AB36" s="26">
        <v>5.5899999999999997E-5</v>
      </c>
      <c r="AC36" s="26"/>
      <c r="AD36" s="25">
        <v>371</v>
      </c>
      <c r="AE36" s="27">
        <f t="shared" ca="1" si="14"/>
        <v>4.3333333333333335E-2</v>
      </c>
      <c r="AF36" s="27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6">
        <v>9.6599999999999995E-4</v>
      </c>
      <c r="AB37" s="26">
        <v>5.3900000000000002E-5</v>
      </c>
      <c r="AC37" s="26"/>
      <c r="AD37" s="25">
        <v>370</v>
      </c>
      <c r="AE37" s="27">
        <f t="shared" ca="1" si="14"/>
        <v>4.3333333333333335E-2</v>
      </c>
      <c r="AF37" s="27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6">
        <v>1.0399999999999999E-3</v>
      </c>
      <c r="AB38" s="26">
        <v>4.99E-5</v>
      </c>
      <c r="AC38" s="26"/>
      <c r="AD38" s="25">
        <v>369</v>
      </c>
      <c r="AE38" s="27">
        <f t="shared" ca="1" si="14"/>
        <v>4.3333333333333335E-2</v>
      </c>
      <c r="AF38" s="27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6">
        <v>1.1100000000000001E-3</v>
      </c>
      <c r="AB39" s="26">
        <v>5.0399999999999999E-5</v>
      </c>
      <c r="AC39" s="26"/>
      <c r="AD39" s="25">
        <v>368</v>
      </c>
      <c r="AE39" s="27">
        <f t="shared" ca="1" si="14"/>
        <v>0.21666666666666667</v>
      </c>
      <c r="AF39" s="27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6">
        <v>1.1900000000000001E-3</v>
      </c>
      <c r="AB40" s="26">
        <v>5.2299999999999997E-5</v>
      </c>
      <c r="AC40" s="26"/>
      <c r="AD40" s="25">
        <v>367</v>
      </c>
      <c r="AE40" s="27">
        <f t="shared" ca="1" si="14"/>
        <v>4.3333333333333335E-2</v>
      </c>
      <c r="AF40" s="27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6">
        <v>1.2700000000000001E-3</v>
      </c>
      <c r="AB41" s="26">
        <v>5.3300000000000001E-5</v>
      </c>
      <c r="AC41" s="26"/>
      <c r="AD41" s="25">
        <v>366</v>
      </c>
      <c r="AE41" s="27">
        <f t="shared" ca="1" si="14"/>
        <v>4.3333333333333335E-2</v>
      </c>
      <c r="AF41" s="27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6">
        <v>1.3600000000000001E-3</v>
      </c>
      <c r="AB42" s="26">
        <v>5.3199999999999999E-5</v>
      </c>
      <c r="AC42" s="26"/>
      <c r="AD42" s="25">
        <v>365</v>
      </c>
      <c r="AE42" s="27">
        <f t="shared" ca="1" si="14"/>
        <v>4.3333333333333335E-2</v>
      </c>
      <c r="AF42" s="27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6">
        <v>1.5100000000000001E-3</v>
      </c>
      <c r="AB43" s="26">
        <v>5.0099999999999998E-5</v>
      </c>
      <c r="AC43" s="26"/>
      <c r="AD43" s="25">
        <v>364</v>
      </c>
      <c r="AE43" s="27">
        <f t="shared" ca="1" si="14"/>
        <v>4.3333333333333335E-2</v>
      </c>
      <c r="AF43" s="27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6">
        <v>2.33E-3</v>
      </c>
      <c r="AB44" s="26">
        <v>4.4499999999999997E-5</v>
      </c>
      <c r="AC44" s="26"/>
      <c r="AD44" s="25">
        <v>363</v>
      </c>
      <c r="AE44" s="27">
        <f t="shared" ca="1" si="14"/>
        <v>4.3333333333333335E-2</v>
      </c>
      <c r="AF44" s="27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6">
        <v>3.5999999999999999E-3</v>
      </c>
      <c r="AB45" s="26">
        <v>3.6100000000000003E-5</v>
      </c>
      <c r="AC45" s="26"/>
      <c r="AD45" s="25">
        <v>362</v>
      </c>
      <c r="AE45" s="27">
        <f t="shared" ca="1" si="14"/>
        <v>4.3333333333333335E-2</v>
      </c>
      <c r="AF45" s="27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6">
        <v>5.5500000000000002E-3</v>
      </c>
      <c r="AB46" s="26">
        <v>3.3200000000000001E-5</v>
      </c>
      <c r="AC46" s="26"/>
      <c r="AD46" s="25">
        <v>361</v>
      </c>
      <c r="AE46" s="27">
        <f t="shared" ca="1" si="14"/>
        <v>4.3333333333333335E-2</v>
      </c>
      <c r="AF46" s="27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6">
        <v>8.5500000000000003E-3</v>
      </c>
      <c r="AB47" s="26">
        <v>3.1399999999999998E-5</v>
      </c>
      <c r="AC47" s="26"/>
      <c r="AD47" s="25">
        <v>360</v>
      </c>
      <c r="AE47" s="27">
        <f t="shared" ca="1" si="14"/>
        <v>4.3333333333333335E-2</v>
      </c>
      <c r="AF47" s="27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6">
        <v>1.32E-2</v>
      </c>
      <c r="AB48" s="26">
        <v>2.7900000000000001E-5</v>
      </c>
      <c r="AC48" s="26"/>
      <c r="AD48" s="25">
        <v>359</v>
      </c>
      <c r="AE48" s="27">
        <f t="shared" ca="1" si="14"/>
        <v>4.3333333333333335E-2</v>
      </c>
      <c r="AF48" s="27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6">
        <v>2.0299999999999999E-2</v>
      </c>
      <c r="AB49" s="26">
        <v>2.4300000000000001E-5</v>
      </c>
      <c r="AC49" s="26"/>
      <c r="AD49" s="25">
        <v>358</v>
      </c>
      <c r="AE49" s="27">
        <f t="shared" ca="1" si="14"/>
        <v>4.3333333333333335E-2</v>
      </c>
      <c r="AF49" s="27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6">
        <v>3.1300000000000001E-2</v>
      </c>
      <c r="AB50" s="26">
        <v>2.1299999999999999E-5</v>
      </c>
      <c r="AC50" s="26"/>
      <c r="AD50" s="25">
        <v>357</v>
      </c>
      <c r="AE50" s="27">
        <f t="shared" ca="1" si="14"/>
        <v>4.3333333333333335E-2</v>
      </c>
      <c r="AF50" s="27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6">
        <v>4.8300000000000003E-2</v>
      </c>
      <c r="AB51" s="26">
        <v>1.7499999999999998E-5</v>
      </c>
      <c r="AC51" s="26"/>
      <c r="AD51" s="25">
        <v>356</v>
      </c>
      <c r="AE51" s="27">
        <f t="shared" ca="1" si="14"/>
        <v>4.3333333333333335E-2</v>
      </c>
      <c r="AF51" s="27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6">
        <v>7.4499999999999997E-2</v>
      </c>
      <c r="AB52" s="26">
        <v>1.34E-5</v>
      </c>
      <c r="AC52" s="26"/>
      <c r="AD52" s="25">
        <v>355</v>
      </c>
      <c r="AE52" s="27">
        <f t="shared" ca="1" si="14"/>
        <v>4.3333333333333335E-2</v>
      </c>
      <c r="AF52" s="27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6">
        <v>0.115</v>
      </c>
      <c r="AB53" s="26">
        <v>9.6800000000000005E-6</v>
      </c>
      <c r="AC53" s="26"/>
      <c r="AD53" s="25">
        <v>354</v>
      </c>
      <c r="AE53" s="27">
        <f t="shared" ca="1" si="14"/>
        <v>4.3333333333333335E-2</v>
      </c>
      <c r="AF53" s="27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6">
        <v>0.17699999999999999</v>
      </c>
      <c r="AB54" s="26">
        <v>7.1899999999999998E-6</v>
      </c>
      <c r="AC54" s="26"/>
      <c r="AD54" s="25">
        <v>353</v>
      </c>
      <c r="AE54" s="27">
        <f t="shared" ca="1" si="14"/>
        <v>4.3333333333333335E-2</v>
      </c>
      <c r="AF54" s="27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6">
        <v>0.27300000000000002</v>
      </c>
      <c r="AB55" s="26">
        <v>4.3499999999999999E-6</v>
      </c>
      <c r="AC55" s="26"/>
      <c r="AD55" s="25">
        <v>352</v>
      </c>
      <c r="AE55" s="27">
        <f t="shared" ca="1" si="14"/>
        <v>4.3333333333333335E-2</v>
      </c>
      <c r="AF55" s="27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6">
        <v>0.42099999999999999</v>
      </c>
      <c r="AB56" s="26">
        <v>2.3599999999999999E-6</v>
      </c>
      <c r="AC56" s="26"/>
      <c r="AD56" s="25">
        <v>351</v>
      </c>
      <c r="AE56" s="27">
        <f t="shared" ca="1" si="14"/>
        <v>4.3333333333333335E-2</v>
      </c>
      <c r="AF56" s="27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6">
        <v>0.64900000000000002</v>
      </c>
      <c r="AB57" s="26">
        <v>8.6400000000000001E-7</v>
      </c>
      <c r="AC57" s="26"/>
      <c r="AD57" s="25">
        <v>350</v>
      </c>
      <c r="AE57" s="27">
        <f t="shared" ca="1" si="14"/>
        <v>4.3333333333333335E-2</v>
      </c>
      <c r="AF57" s="27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6">
        <v>1</v>
      </c>
      <c r="AB58" s="26">
        <v>3.3700000000000001E-7</v>
      </c>
      <c r="AC58" s="26"/>
      <c r="AD58" s="25">
        <v>349</v>
      </c>
      <c r="AE58" s="27">
        <f t="shared" ca="1" si="14"/>
        <v>4.3333333333333335E-2</v>
      </c>
      <c r="AF58" s="27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6">
        <v>1</v>
      </c>
      <c r="AB59" s="26">
        <v>1.2800000000000001E-7</v>
      </c>
      <c r="AC59" s="26"/>
      <c r="AD59" s="25">
        <v>348</v>
      </c>
      <c r="AE59" s="27">
        <f t="shared" ca="1" si="14"/>
        <v>4.3333333333333335E-2</v>
      </c>
      <c r="AF59" s="27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6">
        <v>1</v>
      </c>
      <c r="AB60" s="26">
        <v>2.92E-8</v>
      </c>
      <c r="AC60" s="26"/>
      <c r="AD60" s="25">
        <v>347</v>
      </c>
      <c r="AE60" s="27">
        <f t="shared" ca="1" si="14"/>
        <v>4.3333333333333335E-2</v>
      </c>
      <c r="AF60" s="27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6">
        <v>1</v>
      </c>
      <c r="AB61" s="26">
        <v>2.8499999999999999E-9</v>
      </c>
      <c r="AC61" s="26"/>
      <c r="AD61" s="25">
        <v>346</v>
      </c>
      <c r="AE61" s="27">
        <f t="shared" ca="1" si="14"/>
        <v>4.3333333333333335E-2</v>
      </c>
      <c r="AF61" s="27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6">
        <v>1</v>
      </c>
      <c r="AB62" s="26">
        <v>3.0900000000000002E-10</v>
      </c>
      <c r="AC62" s="26"/>
      <c r="AD62" s="25">
        <v>345</v>
      </c>
      <c r="AE62" s="27">
        <f t="shared" ca="1" si="14"/>
        <v>4.3333333333333335E-2</v>
      </c>
      <c r="AF62" s="27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6">
        <v>1</v>
      </c>
      <c r="AB63" s="26">
        <v>6.4699999999999994E-11</v>
      </c>
      <c r="AC63" s="26"/>
      <c r="AD63" s="25">
        <v>344</v>
      </c>
      <c r="AE63" s="27">
        <f t="shared" ca="1" si="14"/>
        <v>4.3333333333333335E-2</v>
      </c>
      <c r="AF63" s="27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6">
        <v>1</v>
      </c>
      <c r="AB64" s="26">
        <v>4.0600000000000001E-11</v>
      </c>
      <c r="AC64" s="26"/>
      <c r="AD64" s="25">
        <v>343</v>
      </c>
      <c r="AE64" s="27">
        <f t="shared" ca="1" si="14"/>
        <v>4.3333333333333335E-2</v>
      </c>
      <c r="AF64" s="27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6">
        <v>1</v>
      </c>
      <c r="AB65" s="26">
        <v>3.1400000000000003E-11</v>
      </c>
      <c r="AC65" s="26"/>
      <c r="AD65" s="25">
        <v>342</v>
      </c>
      <c r="AE65" s="27">
        <f t="shared" ca="1" si="14"/>
        <v>4.3333333333333335E-2</v>
      </c>
      <c r="AF65" s="27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6">
        <v>1</v>
      </c>
      <c r="AB66" s="26">
        <v>2.37E-11</v>
      </c>
      <c r="AC66" s="26"/>
      <c r="AD66" s="25">
        <v>341</v>
      </c>
      <c r="AE66" s="27">
        <f t="shared" ca="1" si="14"/>
        <v>4.3333333333333335E-2</v>
      </c>
      <c r="AF66" s="27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6">
        <v>1</v>
      </c>
      <c r="AB67" s="26">
        <v>4.1199999999999997E-11</v>
      </c>
      <c r="AC67" s="26"/>
      <c r="AD67" s="25">
        <v>340</v>
      </c>
      <c r="AE67" s="27">
        <f t="shared" ca="1" si="14"/>
        <v>4.3333333333333335E-2</v>
      </c>
      <c r="AF67" s="27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133</v>
      </c>
      <c r="Y68" s="29">
        <f>SUMPRODUCT(AA7:AA67,AB7:AB67)</f>
        <v>1.0854396E-5</v>
      </c>
      <c r="Z68" s="29">
        <f>SUMPRODUCT(AA7:AA67,AB7:AB67)</f>
        <v>1.0854396E-5</v>
      </c>
      <c r="AA68" s="29"/>
      <c r="AB68" s="29"/>
      <c r="AC68" s="29"/>
      <c r="AD68" s="25">
        <v>339</v>
      </c>
      <c r="AE68" s="22">
        <f t="shared" ca="1" si="14"/>
        <v>4.3333333333333335E-2</v>
      </c>
      <c r="AF68" s="2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134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9"/>
      <c r="AB69" s="29"/>
      <c r="AC69" s="29"/>
      <c r="AD69" s="25">
        <v>338</v>
      </c>
      <c r="AE69" s="22">
        <f t="shared" ca="1" si="14"/>
        <v>4.3333333333333335E-2</v>
      </c>
      <c r="AF69" s="2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124</v>
      </c>
      <c r="Y70" s="29">
        <f ca="1">Y68/Y69</f>
        <v>22.842138059815493</v>
      </c>
      <c r="Z70" s="29">
        <f t="shared" ref="Z70" ca="1" si="22">Z68/Z69</f>
        <v>100.21885383985033</v>
      </c>
      <c r="AA70" s="29"/>
      <c r="AB70" s="29"/>
      <c r="AC70" s="29"/>
      <c r="AD70" s="25">
        <v>337</v>
      </c>
      <c r="AE70" s="22">
        <f t="shared" ca="1" si="14"/>
        <v>4.3333333333333335E-2</v>
      </c>
      <c r="AF70" s="2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22">
        <v>336</v>
      </c>
      <c r="AE71" s="22">
        <f t="shared" ca="1" si="14"/>
        <v>4.3333333333333335E-2</v>
      </c>
      <c r="AF71" s="22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22">
        <v>335</v>
      </c>
      <c r="AE72" s="22">
        <f t="shared" ref="AE72:AE92" ca="1" si="23">AVERAGE(Q95:S95)</f>
        <v>4.3333333333333335E-2</v>
      </c>
      <c r="AF72" s="22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22">
        <v>334</v>
      </c>
      <c r="AE73" s="22">
        <f t="shared" ca="1" si="23"/>
        <v>4.3333333333333335E-2</v>
      </c>
      <c r="AF73" s="22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22">
        <v>333</v>
      </c>
      <c r="AE74" s="22">
        <f t="shared" ca="1" si="23"/>
        <v>4.3333333333333335E-2</v>
      </c>
      <c r="AF74" s="22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22">
        <v>332</v>
      </c>
      <c r="AE75" s="22">
        <f t="shared" ca="1" si="23"/>
        <v>4.3333333333333335E-2</v>
      </c>
      <c r="AF75" s="22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22">
        <v>331</v>
      </c>
      <c r="AE76" s="22">
        <f t="shared" ca="1" si="23"/>
        <v>4.3333333333333335E-2</v>
      </c>
      <c r="AF76" s="22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22">
        <v>330</v>
      </c>
      <c r="AE77" s="22">
        <f t="shared" ca="1" si="23"/>
        <v>4.3333333333333335E-2</v>
      </c>
      <c r="AF77" s="22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22">
        <v>329</v>
      </c>
      <c r="AE78" s="22">
        <f t="shared" ca="1" si="23"/>
        <v>4.3333333333333335E-2</v>
      </c>
      <c r="AF78" s="22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22">
        <v>328</v>
      </c>
      <c r="AE79" s="22">
        <f t="shared" ca="1" si="23"/>
        <v>4.3333333333333335E-2</v>
      </c>
      <c r="AF79" s="22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22">
        <v>327</v>
      </c>
      <c r="AE80" s="22">
        <f t="shared" ca="1" si="23"/>
        <v>4.3333333333333335E-2</v>
      </c>
      <c r="AF80" s="22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22">
        <v>326</v>
      </c>
      <c r="AE81" s="22">
        <f t="shared" ca="1" si="23"/>
        <v>4.3333333333333335E-2</v>
      </c>
      <c r="AF81" s="22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22">
        <v>325</v>
      </c>
      <c r="AE82" s="22">
        <f t="shared" ca="1" si="23"/>
        <v>4.3333333333333335E-2</v>
      </c>
      <c r="AF82" s="22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22">
        <v>324</v>
      </c>
      <c r="AE83" s="22">
        <f t="shared" ca="1" si="23"/>
        <v>4.3333333333333335E-2</v>
      </c>
      <c r="AF83" s="22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22">
        <v>323</v>
      </c>
      <c r="AE84" s="22">
        <f t="shared" ca="1" si="23"/>
        <v>4.3333333333333335E-2</v>
      </c>
      <c r="AF84" s="22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22">
        <v>322</v>
      </c>
      <c r="AE85" s="22">
        <f t="shared" ca="1" si="23"/>
        <v>4.3333333333333335E-2</v>
      </c>
      <c r="AF85" s="22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22">
        <v>321</v>
      </c>
      <c r="AE86" s="22">
        <f t="shared" ca="1" si="23"/>
        <v>4.3333333333333335E-2</v>
      </c>
      <c r="AF86" s="22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22">
        <v>320</v>
      </c>
      <c r="AE87" s="22">
        <f t="shared" ca="1" si="23"/>
        <v>4.3333333333333335E-2</v>
      </c>
      <c r="AF87" s="22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22">
        <v>319</v>
      </c>
      <c r="AE88" s="22">
        <f t="shared" ca="1" si="23"/>
        <v>4.3333333333333335E-2</v>
      </c>
      <c r="AF88" s="22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22">
        <v>318</v>
      </c>
      <c r="AE89" s="22">
        <f t="shared" ca="1" si="23"/>
        <v>4.3333333333333335E-2</v>
      </c>
      <c r="AF89" s="22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22">
        <v>317</v>
      </c>
      <c r="AE90" s="22">
        <f t="shared" ca="1" si="23"/>
        <v>4.3333333333333335E-2</v>
      </c>
      <c r="AF90" s="22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22">
        <v>316</v>
      </c>
      <c r="AE91" s="22">
        <f t="shared" ca="1" si="23"/>
        <v>4.3333333333333335E-2</v>
      </c>
      <c r="AF91" s="22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22">
        <v>315</v>
      </c>
      <c r="AE92" s="22">
        <f t="shared" ca="1" si="23"/>
        <v>4.3333333333333335E-2</v>
      </c>
      <c r="AF92" s="22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135</v>
      </c>
      <c r="AE93" s="22">
        <f t="shared" ref="AE93:AF93" ca="1" si="25">SUM(AE7:AE92)</f>
        <v>3.900000000000007</v>
      </c>
      <c r="AF93" s="22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136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5.75" x14ac:dyDescent="0.2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22" t="s">
        <v>137</v>
      </c>
      <c r="AE95" s="22">
        <f t="shared" ref="AE95:AF95" ca="1" si="32">AE93/AE94</f>
        <v>4.5348837209302405E-2</v>
      </c>
      <c r="AF95" s="22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22" t="s">
        <v>44</v>
      </c>
      <c r="AE97" s="22"/>
      <c r="AF97" s="22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22" t="s">
        <v>25</v>
      </c>
      <c r="AE98" s="22" t="s">
        <v>26</v>
      </c>
      <c r="AF98" s="22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22" t="s">
        <v>1</v>
      </c>
      <c r="AE99" s="22" t="s">
        <v>27</v>
      </c>
      <c r="AF99" s="22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22">
        <f ca="1">AVERAGE(Q115:S115)</f>
        <v>4.3333333333333335E-2</v>
      </c>
      <c r="AF100" s="22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22">
        <f t="shared" ref="AE101:AE135" ca="1" si="33">AVERAGE(Q116:S116)</f>
        <v>4.3333333333333335E-2</v>
      </c>
      <c r="AF101" s="22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22">
        <f t="shared" ca="1" si="33"/>
        <v>4.3333333333333335E-2</v>
      </c>
      <c r="AF102" s="22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22">
        <f t="shared" ca="1" si="33"/>
        <v>4.3333333333333335E-2</v>
      </c>
      <c r="AF103" s="22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22">
        <f t="shared" ca="1" si="33"/>
        <v>4.3333333333333335E-2</v>
      </c>
      <c r="AF104" s="22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22">
        <f t="shared" ca="1" si="33"/>
        <v>4.3333333333333335E-2</v>
      </c>
      <c r="AF105" s="22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22">
        <f t="shared" ca="1" si="33"/>
        <v>4.3333333333333335E-2</v>
      </c>
      <c r="AF106" s="22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22">
        <f t="shared" ca="1" si="33"/>
        <v>4.3333333333333335E-2</v>
      </c>
      <c r="AF107" s="22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22">
        <f t="shared" ca="1" si="33"/>
        <v>4.3333333333333335E-2</v>
      </c>
      <c r="AF108" s="22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22">
        <f t="shared" ca="1" si="33"/>
        <v>4.3333333333333335E-2</v>
      </c>
      <c r="AF109" s="22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22">
        <f t="shared" ca="1" si="33"/>
        <v>4.3333333333333335E-2</v>
      </c>
      <c r="AF110" s="22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22">
        <f t="shared" ca="1" si="33"/>
        <v>4.3333333333333335E-2</v>
      </c>
      <c r="AF111" s="22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22">
        <f t="shared" ca="1" si="33"/>
        <v>4.3333333333333335E-2</v>
      </c>
      <c r="AF112" s="22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22">
        <f t="shared" ca="1" si="33"/>
        <v>4.3333333333333335E-2</v>
      </c>
      <c r="AF113" s="22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22">
        <f t="shared" ca="1" si="33"/>
        <v>4.3333333333333335E-2</v>
      </c>
      <c r="AF114" s="22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22">
        <f t="shared" ca="1" si="33"/>
        <v>4.3333333333333335E-2</v>
      </c>
      <c r="AF115" s="22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22">
        <f t="shared" ca="1" si="33"/>
        <v>4.3333333333333335E-2</v>
      </c>
      <c r="AF116" s="22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22">
        <f t="shared" ca="1" si="33"/>
        <v>4.3333333333333335E-2</v>
      </c>
      <c r="AF117" s="22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22">
        <f t="shared" ca="1" si="33"/>
        <v>4.3333333333333335E-2</v>
      </c>
      <c r="AF118" s="22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22">
        <f t="shared" ca="1" si="33"/>
        <v>4.3333333333333335E-2</v>
      </c>
      <c r="AF119" s="22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22">
        <f t="shared" ca="1" si="33"/>
        <v>4.3333333333333335E-2</v>
      </c>
      <c r="AF120" s="22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22">
        <f t="shared" ca="1" si="33"/>
        <v>4.3333333333333335E-2</v>
      </c>
      <c r="AF121" s="22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22">
        <f t="shared" ca="1" si="33"/>
        <v>4.3333333333333335E-2</v>
      </c>
      <c r="AF122" s="22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22">
        <f t="shared" ca="1" si="33"/>
        <v>4.3333333333333335E-2</v>
      </c>
      <c r="AF123" s="22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22">
        <f t="shared" ca="1" si="33"/>
        <v>4.3333333333333335E-2</v>
      </c>
      <c r="AF124" s="22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22">
        <f t="shared" ca="1" si="33"/>
        <v>4.3333333333333335E-2</v>
      </c>
      <c r="AF125" s="22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22">
        <f t="shared" ca="1" si="33"/>
        <v>4.3333333333333335E-2</v>
      </c>
      <c r="AF126" s="22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22">
        <f t="shared" ca="1" si="33"/>
        <v>4.3333333333333335E-2</v>
      </c>
      <c r="AF127" s="22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22">
        <f t="shared" ca="1" si="33"/>
        <v>4.3333333333333335E-2</v>
      </c>
      <c r="AF128" s="22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22">
        <f t="shared" ca="1" si="33"/>
        <v>4.3333333333333335E-2</v>
      </c>
      <c r="AF129" s="22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22">
        <f t="shared" ca="1" si="33"/>
        <v>4.3333333333333335E-2</v>
      </c>
      <c r="AF130" s="22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22">
        <f t="shared" ca="1" si="33"/>
        <v>4.3333333333333335E-2</v>
      </c>
      <c r="AF131" s="22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22">
        <f t="shared" ca="1" si="33"/>
        <v>4.3333333333333335E-2</v>
      </c>
      <c r="AF132" s="22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22">
        <f t="shared" ca="1" si="33"/>
        <v>4.3333333333333335E-2</v>
      </c>
      <c r="AF133" s="22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22">
        <f t="shared" ca="1" si="33"/>
        <v>4.3333333333333335E-2</v>
      </c>
      <c r="AF134" s="22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22">
        <f t="shared" ca="1" si="33"/>
        <v>4.3333333333333335E-2</v>
      </c>
      <c r="AF135" s="22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135</v>
      </c>
      <c r="AE136" s="22">
        <f ca="1">SUM(AE100:AE135)</f>
        <v>1.5600000000000014</v>
      </c>
      <c r="AF136" s="22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136</v>
      </c>
      <c r="AE137" s="22">
        <v>36</v>
      </c>
      <c r="AF137" s="2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5.75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22" t="s">
        <v>138</v>
      </c>
      <c r="AE138" s="22">
        <f ca="1">AE136/AE137</f>
        <v>4.333333333333337E-2</v>
      </c>
      <c r="AF138" s="22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9112-6A57-43BD-B34E-144AE66559ED}">
  <sheetPr codeName="Sheet11"/>
  <dimension ref="A1:AN150"/>
  <sheetViews>
    <sheetView topLeftCell="W1" workbookViewId="0">
      <selection activeCell="X1" sqref="X1:AF138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121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122</v>
      </c>
      <c r="Y2" s="6"/>
      <c r="Z2" s="6"/>
      <c r="AA2" s="6"/>
      <c r="AB2" s="6"/>
      <c r="AC2" s="6"/>
      <c r="AD2" s="6" t="s">
        <v>21</v>
      </c>
      <c r="AE2" s="6" t="s">
        <v>37</v>
      </c>
      <c r="AF2" s="24" t="s">
        <v>123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21</v>
      </c>
      <c r="Y3" s="9" t="s">
        <v>124</v>
      </c>
      <c r="Z3" s="12" t="s">
        <v>125</v>
      </c>
      <c r="AA3" s="9"/>
      <c r="AB3" s="9"/>
      <c r="AC3" s="9"/>
      <c r="AD3" s="9"/>
      <c r="AE3" s="22"/>
      <c r="AF3" s="6" t="s">
        <v>126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127</v>
      </c>
      <c r="AA4" s="6"/>
      <c r="AB4" s="6"/>
      <c r="AC4" s="6"/>
      <c r="AD4" s="6" t="s">
        <v>128</v>
      </c>
      <c r="AE4" s="22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6" t="s">
        <v>129</v>
      </c>
      <c r="AB5" s="6" t="s">
        <v>130</v>
      </c>
      <c r="AC5" s="6"/>
      <c r="AD5" s="6" t="s">
        <v>25</v>
      </c>
      <c r="AE5" s="23" t="s">
        <v>26</v>
      </c>
      <c r="AF5" s="23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6" t="s">
        <v>131</v>
      </c>
      <c r="AB6" s="6" t="s">
        <v>132</v>
      </c>
      <c r="AC6" s="6"/>
      <c r="AD6" s="6" t="s">
        <v>1</v>
      </c>
      <c r="AE6" s="23" t="s">
        <v>27</v>
      </c>
      <c r="AF6" s="23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6">
        <v>1.22E-4</v>
      </c>
      <c r="AB7" s="26">
        <v>1.01E-4</v>
      </c>
      <c r="AC7" s="26"/>
      <c r="AD7" s="25">
        <v>400</v>
      </c>
      <c r="AE7" s="27">
        <f ca="1">AVERAGE(Q30:S30)</f>
        <v>3.6666666666666667E-2</v>
      </c>
      <c r="AF7" s="27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6">
        <v>1.2999999999999999E-4</v>
      </c>
      <c r="AB8" s="26">
        <v>8.0099999999999995E-5</v>
      </c>
      <c r="AC8" s="26"/>
      <c r="AD8" s="25">
        <v>399</v>
      </c>
      <c r="AE8" s="27">
        <f t="shared" ref="AE8:AE71" ca="1" si="14">AVERAGE(Q31:S31)</f>
        <v>4.3333333333333335E-2</v>
      </c>
      <c r="AF8" s="27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6">
        <v>1.3999999999999999E-4</v>
      </c>
      <c r="AB9" s="26">
        <v>6.8100000000000002E-5</v>
      </c>
      <c r="AC9" s="26"/>
      <c r="AD9" s="25">
        <v>398</v>
      </c>
      <c r="AE9" s="27">
        <f t="shared" ca="1" si="14"/>
        <v>5.000000000000001E-2</v>
      </c>
      <c r="AF9" s="27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6">
        <v>1.4999999999999999E-4</v>
      </c>
      <c r="AB10" s="26">
        <v>6.5500000000000006E-5</v>
      </c>
      <c r="AC10" s="26"/>
      <c r="AD10" s="25">
        <v>397</v>
      </c>
      <c r="AE10" s="27">
        <f t="shared" ca="1" si="14"/>
        <v>4.3333333333333335E-2</v>
      </c>
      <c r="AF10" s="27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6">
        <v>1.6000000000000001E-4</v>
      </c>
      <c r="AB11" s="26">
        <v>7.1600000000000006E-5</v>
      </c>
      <c r="AC11" s="26"/>
      <c r="AD11" s="25">
        <v>396</v>
      </c>
      <c r="AE11" s="27">
        <f t="shared" ca="1" si="14"/>
        <v>4.3333333333333335E-2</v>
      </c>
      <c r="AF11" s="27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6">
        <v>1.7200000000000001E-4</v>
      </c>
      <c r="AB12" s="26">
        <v>7.5699999999999997E-5</v>
      </c>
      <c r="AC12" s="26"/>
      <c r="AD12" s="25">
        <v>395</v>
      </c>
      <c r="AE12" s="27">
        <f t="shared" ca="1" si="14"/>
        <v>4.3333333333333335E-2</v>
      </c>
      <c r="AF12" s="27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6">
        <v>1.84E-4</v>
      </c>
      <c r="AB13" s="26">
        <v>6.7199999999999994E-5</v>
      </c>
      <c r="AC13" s="26"/>
      <c r="AD13" s="25">
        <v>394</v>
      </c>
      <c r="AE13" s="27">
        <f t="shared" ca="1" si="14"/>
        <v>4.3333333333333335E-2</v>
      </c>
      <c r="AF13" s="27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6">
        <v>1.9699999999999999E-4</v>
      </c>
      <c r="AB14" s="26">
        <v>6.2600000000000004E-5</v>
      </c>
      <c r="AC14" s="26"/>
      <c r="AD14" s="25">
        <v>393</v>
      </c>
      <c r="AE14" s="27">
        <f t="shared" ca="1" si="14"/>
        <v>4.3333333333333335E-2</v>
      </c>
      <c r="AF14" s="27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6">
        <v>2.1100000000000001E-4</v>
      </c>
      <c r="AB15" s="26">
        <v>5.8499999999999999E-5</v>
      </c>
      <c r="AC15" s="26"/>
      <c r="AD15" s="25">
        <v>392</v>
      </c>
      <c r="AE15" s="27">
        <f t="shared" ca="1" si="14"/>
        <v>4.3333333333333335E-2</v>
      </c>
      <c r="AF15" s="27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6">
        <v>2.2599999999999999E-4</v>
      </c>
      <c r="AB16" s="26">
        <v>6.4200000000000002E-5</v>
      </c>
      <c r="AC16" s="26"/>
      <c r="AD16" s="25">
        <v>391</v>
      </c>
      <c r="AE16" s="27">
        <f t="shared" ca="1" si="14"/>
        <v>4.3333333333333335E-2</v>
      </c>
      <c r="AF16" s="27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6">
        <v>2.43E-4</v>
      </c>
      <c r="AB17" s="26">
        <v>7.5400000000000003E-5</v>
      </c>
      <c r="AC17" s="26"/>
      <c r="AD17" s="25">
        <v>390</v>
      </c>
      <c r="AE17" s="27">
        <f t="shared" ca="1" si="14"/>
        <v>4.3333333333333335E-2</v>
      </c>
      <c r="AF17" s="27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6">
        <v>2.5999999999999998E-4</v>
      </c>
      <c r="AB18" s="26">
        <v>7.4599999999999997E-5</v>
      </c>
      <c r="AC18" s="26"/>
      <c r="AD18" s="25">
        <v>389</v>
      </c>
      <c r="AE18" s="27">
        <f t="shared" ca="1" si="14"/>
        <v>4.3333333333333335E-2</v>
      </c>
      <c r="AF18" s="27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6">
        <v>2.7900000000000001E-4</v>
      </c>
      <c r="AB19" s="26">
        <v>6.6600000000000006E-5</v>
      </c>
      <c r="AC19" s="26"/>
      <c r="AD19" s="25">
        <v>388</v>
      </c>
      <c r="AE19" s="27">
        <f t="shared" ca="1" si="14"/>
        <v>4.3333333333333335E-2</v>
      </c>
      <c r="AF19" s="27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6">
        <v>2.99E-4</v>
      </c>
      <c r="AB20" s="26">
        <v>6.6099999999999994E-5</v>
      </c>
      <c r="AC20" s="26"/>
      <c r="AD20" s="25">
        <v>387</v>
      </c>
      <c r="AE20" s="27">
        <f t="shared" ca="1" si="14"/>
        <v>4.3333333333333335E-2</v>
      </c>
      <c r="AF20" s="27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6">
        <v>3.2000000000000003E-4</v>
      </c>
      <c r="AB21" s="26">
        <v>7.4999999999999993E-5</v>
      </c>
      <c r="AC21" s="26"/>
      <c r="AD21" s="25">
        <v>386</v>
      </c>
      <c r="AE21" s="27">
        <f t="shared" ca="1" si="14"/>
        <v>4.3333333333333335E-2</v>
      </c>
      <c r="AF21" s="27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6">
        <v>3.4299999999999999E-4</v>
      </c>
      <c r="AB22" s="26">
        <v>7.6600000000000005E-5</v>
      </c>
      <c r="AC22" s="26"/>
      <c r="AD22" s="25">
        <v>385</v>
      </c>
      <c r="AE22" s="27">
        <f t="shared" ca="1" si="14"/>
        <v>4.3333333333333335E-2</v>
      </c>
      <c r="AF22" s="27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6">
        <v>3.6699999999999998E-4</v>
      </c>
      <c r="AB23" s="26">
        <v>7.6199999999999995E-5</v>
      </c>
      <c r="AC23" s="26"/>
      <c r="AD23" s="25">
        <v>384</v>
      </c>
      <c r="AE23" s="27">
        <f t="shared" ca="1" si="14"/>
        <v>4.3333333333333335E-2</v>
      </c>
      <c r="AF23" s="27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6">
        <v>3.9399999999999998E-4</v>
      </c>
      <c r="AB24" s="26">
        <v>7.1799999999999997E-5</v>
      </c>
      <c r="AC24" s="26"/>
      <c r="AD24" s="25">
        <v>383</v>
      </c>
      <c r="AE24" s="27">
        <f t="shared" ca="1" si="14"/>
        <v>4.3333333333333335E-2</v>
      </c>
      <c r="AF24" s="27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6">
        <v>4.2200000000000001E-4</v>
      </c>
      <c r="AB25" s="26">
        <v>6.4800000000000003E-5</v>
      </c>
      <c r="AC25" s="26"/>
      <c r="AD25" s="25">
        <v>382</v>
      </c>
      <c r="AE25" s="27">
        <f t="shared" ca="1" si="14"/>
        <v>4.3333333333333335E-2</v>
      </c>
      <c r="AF25" s="27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6">
        <v>4.5199999999999998E-4</v>
      </c>
      <c r="AB26" s="26">
        <v>6.0000000000000002E-5</v>
      </c>
      <c r="AC26" s="26"/>
      <c r="AD26" s="25">
        <v>381</v>
      </c>
      <c r="AE26" s="27">
        <f t="shared" ca="1" si="14"/>
        <v>4.3333333333333335E-2</v>
      </c>
      <c r="AF26" s="27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6">
        <v>4.84E-4</v>
      </c>
      <c r="AB27" s="26">
        <v>5.6400000000000002E-5</v>
      </c>
      <c r="AC27" s="26"/>
      <c r="AD27" s="25">
        <v>380</v>
      </c>
      <c r="AE27" s="27">
        <f t="shared" ca="1" si="14"/>
        <v>4.3333333333333335E-2</v>
      </c>
      <c r="AF27" s="27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6">
        <v>5.1900000000000004E-4</v>
      </c>
      <c r="AB28" s="26">
        <v>5.38E-5</v>
      </c>
      <c r="AC28" s="26"/>
      <c r="AD28" s="25">
        <v>379</v>
      </c>
      <c r="AE28" s="27">
        <f t="shared" ca="1" si="14"/>
        <v>4.3333333333333335E-2</v>
      </c>
      <c r="AF28" s="27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6">
        <v>5.5599999999999996E-4</v>
      </c>
      <c r="AB29" s="26">
        <v>6.0600000000000003E-5</v>
      </c>
      <c r="AC29" s="26"/>
      <c r="AD29" s="25">
        <v>378</v>
      </c>
      <c r="AE29" s="27">
        <f t="shared" ca="1" si="14"/>
        <v>4.3333333333333335E-2</v>
      </c>
      <c r="AF29" s="27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6">
        <v>5.9599999999999996E-4</v>
      </c>
      <c r="AB30" s="26">
        <v>6.1299999999999999E-5</v>
      </c>
      <c r="AC30" s="26"/>
      <c r="AD30" s="25">
        <v>377</v>
      </c>
      <c r="AE30" s="27">
        <f t="shared" ca="1" si="14"/>
        <v>4.3333333333333335E-2</v>
      </c>
      <c r="AF30" s="27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6">
        <v>6.38E-4</v>
      </c>
      <c r="AB31" s="26">
        <v>5.8900000000000002E-5</v>
      </c>
      <c r="AC31" s="26"/>
      <c r="AD31" s="25">
        <v>376</v>
      </c>
      <c r="AE31" s="27">
        <f t="shared" ca="1" si="14"/>
        <v>4.3333333333333335E-2</v>
      </c>
      <c r="AF31" s="27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6">
        <v>6.8400000000000004E-4</v>
      </c>
      <c r="AB32" s="26">
        <v>5.5899999999999997E-5</v>
      </c>
      <c r="AC32" s="26"/>
      <c r="AD32" s="25">
        <v>375</v>
      </c>
      <c r="AE32" s="27">
        <f t="shared" ca="1" si="14"/>
        <v>4.3333333333333335E-2</v>
      </c>
      <c r="AF32" s="27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6">
        <v>7.3300000000000004E-4</v>
      </c>
      <c r="AB33" s="26">
        <v>5.3699999999999997E-5</v>
      </c>
      <c r="AC33" s="26"/>
      <c r="AD33" s="25">
        <v>374</v>
      </c>
      <c r="AE33" s="27">
        <f t="shared" ca="1" si="14"/>
        <v>4.3333333333333335E-2</v>
      </c>
      <c r="AF33" s="27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6">
        <v>7.85E-4</v>
      </c>
      <c r="AB34" s="26">
        <v>5.3399999999999997E-5</v>
      </c>
      <c r="AC34" s="26"/>
      <c r="AD34" s="25">
        <v>373</v>
      </c>
      <c r="AE34" s="27">
        <f t="shared" ca="1" si="14"/>
        <v>4.3333333333333335E-2</v>
      </c>
      <c r="AF34" s="27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6">
        <v>8.4099999999999995E-4</v>
      </c>
      <c r="AB35" s="26">
        <v>5.3499999999999999E-5</v>
      </c>
      <c r="AC35" s="26"/>
      <c r="AD35" s="25">
        <v>372</v>
      </c>
      <c r="AE35" s="27">
        <f t="shared" ca="1" si="14"/>
        <v>4.3333333333333335E-2</v>
      </c>
      <c r="AF35" s="27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6">
        <v>9.0200000000000002E-4</v>
      </c>
      <c r="AB36" s="26">
        <v>5.5899999999999997E-5</v>
      </c>
      <c r="AC36" s="26"/>
      <c r="AD36" s="25">
        <v>371</v>
      </c>
      <c r="AE36" s="27">
        <f t="shared" ca="1" si="14"/>
        <v>4.3333333333333335E-2</v>
      </c>
      <c r="AF36" s="27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6">
        <v>9.6599999999999995E-4</v>
      </c>
      <c r="AB37" s="26">
        <v>5.3900000000000002E-5</v>
      </c>
      <c r="AC37" s="26"/>
      <c r="AD37" s="25">
        <v>370</v>
      </c>
      <c r="AE37" s="27">
        <f t="shared" ca="1" si="14"/>
        <v>4.3333333333333335E-2</v>
      </c>
      <c r="AF37" s="27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6">
        <v>1.0399999999999999E-3</v>
      </c>
      <c r="AB38" s="26">
        <v>4.99E-5</v>
      </c>
      <c r="AC38" s="26"/>
      <c r="AD38" s="25">
        <v>369</v>
      </c>
      <c r="AE38" s="27">
        <f t="shared" ca="1" si="14"/>
        <v>4.3333333333333335E-2</v>
      </c>
      <c r="AF38" s="27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6">
        <v>1.1100000000000001E-3</v>
      </c>
      <c r="AB39" s="26">
        <v>5.0399999999999999E-5</v>
      </c>
      <c r="AC39" s="26"/>
      <c r="AD39" s="25">
        <v>368</v>
      </c>
      <c r="AE39" s="27">
        <f t="shared" ca="1" si="14"/>
        <v>0.21666666666666667</v>
      </c>
      <c r="AF39" s="27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6">
        <v>1.1900000000000001E-3</v>
      </c>
      <c r="AB40" s="26">
        <v>5.2299999999999997E-5</v>
      </c>
      <c r="AC40" s="26"/>
      <c r="AD40" s="25">
        <v>367</v>
      </c>
      <c r="AE40" s="27">
        <f t="shared" ca="1" si="14"/>
        <v>4.3333333333333335E-2</v>
      </c>
      <c r="AF40" s="27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6">
        <v>1.2700000000000001E-3</v>
      </c>
      <c r="AB41" s="26">
        <v>5.3300000000000001E-5</v>
      </c>
      <c r="AC41" s="26"/>
      <c r="AD41" s="25">
        <v>366</v>
      </c>
      <c r="AE41" s="27">
        <f t="shared" ca="1" si="14"/>
        <v>4.3333333333333335E-2</v>
      </c>
      <c r="AF41" s="27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6">
        <v>1.3600000000000001E-3</v>
      </c>
      <c r="AB42" s="26">
        <v>5.3199999999999999E-5</v>
      </c>
      <c r="AC42" s="26"/>
      <c r="AD42" s="25">
        <v>365</v>
      </c>
      <c r="AE42" s="27">
        <f t="shared" ca="1" si="14"/>
        <v>4.3333333333333335E-2</v>
      </c>
      <c r="AF42" s="27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6">
        <v>1.5100000000000001E-3</v>
      </c>
      <c r="AB43" s="26">
        <v>5.0099999999999998E-5</v>
      </c>
      <c r="AC43" s="26"/>
      <c r="AD43" s="25">
        <v>364</v>
      </c>
      <c r="AE43" s="27">
        <f t="shared" ca="1" si="14"/>
        <v>4.3333333333333335E-2</v>
      </c>
      <c r="AF43" s="27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6">
        <v>2.33E-3</v>
      </c>
      <c r="AB44" s="26">
        <v>4.4499999999999997E-5</v>
      </c>
      <c r="AC44" s="26"/>
      <c r="AD44" s="25">
        <v>363</v>
      </c>
      <c r="AE44" s="27">
        <f t="shared" ca="1" si="14"/>
        <v>4.3333333333333335E-2</v>
      </c>
      <c r="AF44" s="27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6">
        <v>3.5999999999999999E-3</v>
      </c>
      <c r="AB45" s="26">
        <v>3.6100000000000003E-5</v>
      </c>
      <c r="AC45" s="26"/>
      <c r="AD45" s="25">
        <v>362</v>
      </c>
      <c r="AE45" s="27">
        <f t="shared" ca="1" si="14"/>
        <v>4.3333333333333335E-2</v>
      </c>
      <c r="AF45" s="27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6">
        <v>5.5500000000000002E-3</v>
      </c>
      <c r="AB46" s="26">
        <v>3.3200000000000001E-5</v>
      </c>
      <c r="AC46" s="26"/>
      <c r="AD46" s="25">
        <v>361</v>
      </c>
      <c r="AE46" s="27">
        <f t="shared" ca="1" si="14"/>
        <v>4.3333333333333335E-2</v>
      </c>
      <c r="AF46" s="27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6">
        <v>8.5500000000000003E-3</v>
      </c>
      <c r="AB47" s="26">
        <v>3.1399999999999998E-5</v>
      </c>
      <c r="AC47" s="26"/>
      <c r="AD47" s="25">
        <v>360</v>
      </c>
      <c r="AE47" s="27">
        <f t="shared" ca="1" si="14"/>
        <v>4.3333333333333335E-2</v>
      </c>
      <c r="AF47" s="27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6">
        <v>1.32E-2</v>
      </c>
      <c r="AB48" s="26">
        <v>2.7900000000000001E-5</v>
      </c>
      <c r="AC48" s="26"/>
      <c r="AD48" s="25">
        <v>359</v>
      </c>
      <c r="AE48" s="27">
        <f t="shared" ca="1" si="14"/>
        <v>4.3333333333333335E-2</v>
      </c>
      <c r="AF48" s="27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6">
        <v>2.0299999999999999E-2</v>
      </c>
      <c r="AB49" s="26">
        <v>2.4300000000000001E-5</v>
      </c>
      <c r="AC49" s="26"/>
      <c r="AD49" s="25">
        <v>358</v>
      </c>
      <c r="AE49" s="27">
        <f t="shared" ca="1" si="14"/>
        <v>4.3333333333333335E-2</v>
      </c>
      <c r="AF49" s="27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6">
        <v>3.1300000000000001E-2</v>
      </c>
      <c r="AB50" s="26">
        <v>2.1299999999999999E-5</v>
      </c>
      <c r="AC50" s="26"/>
      <c r="AD50" s="25">
        <v>357</v>
      </c>
      <c r="AE50" s="27">
        <f t="shared" ca="1" si="14"/>
        <v>4.3333333333333335E-2</v>
      </c>
      <c r="AF50" s="27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6">
        <v>4.8300000000000003E-2</v>
      </c>
      <c r="AB51" s="26">
        <v>1.7499999999999998E-5</v>
      </c>
      <c r="AC51" s="26"/>
      <c r="AD51" s="25">
        <v>356</v>
      </c>
      <c r="AE51" s="27">
        <f t="shared" ca="1" si="14"/>
        <v>4.3333333333333335E-2</v>
      </c>
      <c r="AF51" s="27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6">
        <v>7.4499999999999997E-2</v>
      </c>
      <c r="AB52" s="26">
        <v>1.34E-5</v>
      </c>
      <c r="AC52" s="26"/>
      <c r="AD52" s="25">
        <v>355</v>
      </c>
      <c r="AE52" s="27">
        <f t="shared" ca="1" si="14"/>
        <v>4.3333333333333335E-2</v>
      </c>
      <c r="AF52" s="27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6">
        <v>0.115</v>
      </c>
      <c r="AB53" s="26">
        <v>9.6800000000000005E-6</v>
      </c>
      <c r="AC53" s="26"/>
      <c r="AD53" s="25">
        <v>354</v>
      </c>
      <c r="AE53" s="27">
        <f t="shared" ca="1" si="14"/>
        <v>4.3333333333333335E-2</v>
      </c>
      <c r="AF53" s="27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6">
        <v>0.17699999999999999</v>
      </c>
      <c r="AB54" s="26">
        <v>7.1899999999999998E-6</v>
      </c>
      <c r="AC54" s="26"/>
      <c r="AD54" s="25">
        <v>353</v>
      </c>
      <c r="AE54" s="27">
        <f t="shared" ca="1" si="14"/>
        <v>4.3333333333333335E-2</v>
      </c>
      <c r="AF54" s="27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6">
        <v>0.27300000000000002</v>
      </c>
      <c r="AB55" s="26">
        <v>4.3499999999999999E-6</v>
      </c>
      <c r="AC55" s="26"/>
      <c r="AD55" s="25">
        <v>352</v>
      </c>
      <c r="AE55" s="27">
        <f t="shared" ca="1" si="14"/>
        <v>4.3333333333333335E-2</v>
      </c>
      <c r="AF55" s="27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6">
        <v>0.42099999999999999</v>
      </c>
      <c r="AB56" s="26">
        <v>2.3599999999999999E-6</v>
      </c>
      <c r="AC56" s="26"/>
      <c r="AD56" s="25">
        <v>351</v>
      </c>
      <c r="AE56" s="27">
        <f t="shared" ca="1" si="14"/>
        <v>4.3333333333333335E-2</v>
      </c>
      <c r="AF56" s="27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6">
        <v>0.64900000000000002</v>
      </c>
      <c r="AB57" s="26">
        <v>8.6400000000000001E-7</v>
      </c>
      <c r="AC57" s="26"/>
      <c r="AD57" s="25">
        <v>350</v>
      </c>
      <c r="AE57" s="27">
        <f t="shared" ca="1" si="14"/>
        <v>4.3333333333333335E-2</v>
      </c>
      <c r="AF57" s="27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6">
        <v>1</v>
      </c>
      <c r="AB58" s="26">
        <v>3.3700000000000001E-7</v>
      </c>
      <c r="AC58" s="26"/>
      <c r="AD58" s="25">
        <v>349</v>
      </c>
      <c r="AE58" s="27">
        <f t="shared" ca="1" si="14"/>
        <v>4.3333333333333335E-2</v>
      </c>
      <c r="AF58" s="27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6">
        <v>1</v>
      </c>
      <c r="AB59" s="26">
        <v>1.2800000000000001E-7</v>
      </c>
      <c r="AC59" s="26"/>
      <c r="AD59" s="25">
        <v>348</v>
      </c>
      <c r="AE59" s="27">
        <f t="shared" ca="1" si="14"/>
        <v>4.3333333333333335E-2</v>
      </c>
      <c r="AF59" s="27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6">
        <v>1</v>
      </c>
      <c r="AB60" s="26">
        <v>2.92E-8</v>
      </c>
      <c r="AC60" s="26"/>
      <c r="AD60" s="25">
        <v>347</v>
      </c>
      <c r="AE60" s="27">
        <f t="shared" ca="1" si="14"/>
        <v>4.3333333333333335E-2</v>
      </c>
      <c r="AF60" s="27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6">
        <v>1</v>
      </c>
      <c r="AB61" s="26">
        <v>2.8499999999999999E-9</v>
      </c>
      <c r="AC61" s="26"/>
      <c r="AD61" s="25">
        <v>346</v>
      </c>
      <c r="AE61" s="27">
        <f t="shared" ca="1" si="14"/>
        <v>4.3333333333333335E-2</v>
      </c>
      <c r="AF61" s="27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6">
        <v>1</v>
      </c>
      <c r="AB62" s="26">
        <v>3.0900000000000002E-10</v>
      </c>
      <c r="AC62" s="26"/>
      <c r="AD62" s="25">
        <v>345</v>
      </c>
      <c r="AE62" s="27">
        <f t="shared" ca="1" si="14"/>
        <v>4.3333333333333335E-2</v>
      </c>
      <c r="AF62" s="27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6">
        <v>1</v>
      </c>
      <c r="AB63" s="26">
        <v>6.4699999999999994E-11</v>
      </c>
      <c r="AC63" s="26"/>
      <c r="AD63" s="25">
        <v>344</v>
      </c>
      <c r="AE63" s="27">
        <f t="shared" ca="1" si="14"/>
        <v>4.3333333333333335E-2</v>
      </c>
      <c r="AF63" s="27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6">
        <v>1</v>
      </c>
      <c r="AB64" s="26">
        <v>4.0600000000000001E-11</v>
      </c>
      <c r="AC64" s="26"/>
      <c r="AD64" s="25">
        <v>343</v>
      </c>
      <c r="AE64" s="27">
        <f t="shared" ca="1" si="14"/>
        <v>4.3333333333333335E-2</v>
      </c>
      <c r="AF64" s="27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6">
        <v>1</v>
      </c>
      <c r="AB65" s="26">
        <v>3.1400000000000003E-11</v>
      </c>
      <c r="AC65" s="26"/>
      <c r="AD65" s="25">
        <v>342</v>
      </c>
      <c r="AE65" s="27">
        <f t="shared" ca="1" si="14"/>
        <v>4.3333333333333335E-2</v>
      </c>
      <c r="AF65" s="27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6">
        <v>1</v>
      </c>
      <c r="AB66" s="26">
        <v>2.37E-11</v>
      </c>
      <c r="AC66" s="26"/>
      <c r="AD66" s="25">
        <v>341</v>
      </c>
      <c r="AE66" s="27">
        <f t="shared" ca="1" si="14"/>
        <v>4.3333333333333335E-2</v>
      </c>
      <c r="AF66" s="27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6">
        <v>1</v>
      </c>
      <c r="AB67" s="26">
        <v>4.1199999999999997E-11</v>
      </c>
      <c r="AC67" s="26"/>
      <c r="AD67" s="25">
        <v>340</v>
      </c>
      <c r="AE67" s="27">
        <f t="shared" ca="1" si="14"/>
        <v>4.3333333333333335E-2</v>
      </c>
      <c r="AF67" s="27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133</v>
      </c>
      <c r="Y68" s="29">
        <f>SUMPRODUCT(AA7:AA67,AB7:AB67)</f>
        <v>1.0854396E-5</v>
      </c>
      <c r="Z68" s="29">
        <f>SUMPRODUCT(AA7:AA67,AB7:AB67)</f>
        <v>1.0854396E-5</v>
      </c>
      <c r="AA68" s="29"/>
      <c r="AB68" s="29"/>
      <c r="AC68" s="29"/>
      <c r="AD68" s="25">
        <v>339</v>
      </c>
      <c r="AE68" s="22">
        <f t="shared" ca="1" si="14"/>
        <v>4.3333333333333335E-2</v>
      </c>
      <c r="AF68" s="2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134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9"/>
      <c r="AB69" s="29"/>
      <c r="AC69" s="29"/>
      <c r="AD69" s="25">
        <v>338</v>
      </c>
      <c r="AE69" s="22">
        <f t="shared" ca="1" si="14"/>
        <v>4.3333333333333335E-2</v>
      </c>
      <c r="AF69" s="2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124</v>
      </c>
      <c r="Y70" s="29">
        <f ca="1">Y68/Y69</f>
        <v>22.842138059815493</v>
      </c>
      <c r="Z70" s="29">
        <f t="shared" ref="Z70" ca="1" si="22">Z68/Z69</f>
        <v>100.21885383985033</v>
      </c>
      <c r="AA70" s="29"/>
      <c r="AB70" s="29"/>
      <c r="AC70" s="29"/>
      <c r="AD70" s="25">
        <v>337</v>
      </c>
      <c r="AE70" s="22">
        <f t="shared" ca="1" si="14"/>
        <v>4.3333333333333335E-2</v>
      </c>
      <c r="AF70" s="2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22">
        <v>336</v>
      </c>
      <c r="AE71" s="22">
        <f t="shared" ca="1" si="14"/>
        <v>4.3333333333333335E-2</v>
      </c>
      <c r="AF71" s="22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22">
        <v>335</v>
      </c>
      <c r="AE72" s="22">
        <f t="shared" ref="AE72:AE92" ca="1" si="23">AVERAGE(Q95:S95)</f>
        <v>4.3333333333333335E-2</v>
      </c>
      <c r="AF72" s="22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22">
        <v>334</v>
      </c>
      <c r="AE73" s="22">
        <f t="shared" ca="1" si="23"/>
        <v>4.3333333333333335E-2</v>
      </c>
      <c r="AF73" s="22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22">
        <v>333</v>
      </c>
      <c r="AE74" s="22">
        <f t="shared" ca="1" si="23"/>
        <v>4.3333333333333335E-2</v>
      </c>
      <c r="AF74" s="22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22">
        <v>332</v>
      </c>
      <c r="AE75" s="22">
        <f t="shared" ca="1" si="23"/>
        <v>4.3333333333333335E-2</v>
      </c>
      <c r="AF75" s="22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22">
        <v>331</v>
      </c>
      <c r="AE76" s="22">
        <f t="shared" ca="1" si="23"/>
        <v>4.3333333333333335E-2</v>
      </c>
      <c r="AF76" s="22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22">
        <v>330</v>
      </c>
      <c r="AE77" s="22">
        <f t="shared" ca="1" si="23"/>
        <v>4.3333333333333335E-2</v>
      </c>
      <c r="AF77" s="22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22">
        <v>329</v>
      </c>
      <c r="AE78" s="22">
        <f t="shared" ca="1" si="23"/>
        <v>4.3333333333333335E-2</v>
      </c>
      <c r="AF78" s="22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22">
        <v>328</v>
      </c>
      <c r="AE79" s="22">
        <f t="shared" ca="1" si="23"/>
        <v>4.3333333333333335E-2</v>
      </c>
      <c r="AF79" s="22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22">
        <v>327</v>
      </c>
      <c r="AE80" s="22">
        <f t="shared" ca="1" si="23"/>
        <v>4.3333333333333335E-2</v>
      </c>
      <c r="AF80" s="22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22">
        <v>326</v>
      </c>
      <c r="AE81" s="22">
        <f t="shared" ca="1" si="23"/>
        <v>4.3333333333333335E-2</v>
      </c>
      <c r="AF81" s="22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22">
        <v>325</v>
      </c>
      <c r="AE82" s="22">
        <f t="shared" ca="1" si="23"/>
        <v>4.3333333333333335E-2</v>
      </c>
      <c r="AF82" s="22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22">
        <v>324</v>
      </c>
      <c r="AE83" s="22">
        <f t="shared" ca="1" si="23"/>
        <v>4.3333333333333335E-2</v>
      </c>
      <c r="AF83" s="22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22">
        <v>323</v>
      </c>
      <c r="AE84" s="22">
        <f t="shared" ca="1" si="23"/>
        <v>4.3333333333333335E-2</v>
      </c>
      <c r="AF84" s="22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22">
        <v>322</v>
      </c>
      <c r="AE85" s="22">
        <f t="shared" ca="1" si="23"/>
        <v>4.3333333333333335E-2</v>
      </c>
      <c r="AF85" s="22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22">
        <v>321</v>
      </c>
      <c r="AE86" s="22">
        <f t="shared" ca="1" si="23"/>
        <v>4.3333333333333335E-2</v>
      </c>
      <c r="AF86" s="22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22">
        <v>320</v>
      </c>
      <c r="AE87" s="22">
        <f t="shared" ca="1" si="23"/>
        <v>4.3333333333333335E-2</v>
      </c>
      <c r="AF87" s="22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22">
        <v>319</v>
      </c>
      <c r="AE88" s="22">
        <f t="shared" ca="1" si="23"/>
        <v>4.3333333333333335E-2</v>
      </c>
      <c r="AF88" s="22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22">
        <v>318</v>
      </c>
      <c r="AE89" s="22">
        <f t="shared" ca="1" si="23"/>
        <v>4.3333333333333335E-2</v>
      </c>
      <c r="AF89" s="22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22">
        <v>317</v>
      </c>
      <c r="AE90" s="22">
        <f t="shared" ca="1" si="23"/>
        <v>4.3333333333333335E-2</v>
      </c>
      <c r="AF90" s="22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22">
        <v>316</v>
      </c>
      <c r="AE91" s="22">
        <f t="shared" ca="1" si="23"/>
        <v>4.3333333333333335E-2</v>
      </c>
      <c r="AF91" s="22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22">
        <v>315</v>
      </c>
      <c r="AE92" s="22">
        <f t="shared" ca="1" si="23"/>
        <v>4.3333333333333335E-2</v>
      </c>
      <c r="AF92" s="22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135</v>
      </c>
      <c r="AE93" s="22">
        <f t="shared" ref="AE93:AF93" ca="1" si="25">SUM(AE7:AE92)</f>
        <v>3.900000000000007</v>
      </c>
      <c r="AF93" s="22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136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5.75" x14ac:dyDescent="0.2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22" t="s">
        <v>137</v>
      </c>
      <c r="AE95" s="22">
        <f t="shared" ref="AE95:AF95" ca="1" si="32">AE93/AE94</f>
        <v>4.5348837209302405E-2</v>
      </c>
      <c r="AF95" s="22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22" t="s">
        <v>44</v>
      </c>
      <c r="AE97" s="22"/>
      <c r="AF97" s="22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22" t="s">
        <v>25</v>
      </c>
      <c r="AE98" s="22" t="s">
        <v>26</v>
      </c>
      <c r="AF98" s="22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22" t="s">
        <v>1</v>
      </c>
      <c r="AE99" s="22" t="s">
        <v>27</v>
      </c>
      <c r="AF99" s="22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22">
        <f ca="1">AVERAGE(Q115:S115)</f>
        <v>4.3333333333333335E-2</v>
      </c>
      <c r="AF100" s="22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22">
        <f t="shared" ref="AE101:AE135" ca="1" si="33">AVERAGE(Q116:S116)</f>
        <v>4.3333333333333335E-2</v>
      </c>
      <c r="AF101" s="22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22">
        <f t="shared" ca="1" si="33"/>
        <v>4.3333333333333335E-2</v>
      </c>
      <c r="AF102" s="22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22">
        <f t="shared" ca="1" si="33"/>
        <v>4.3333333333333335E-2</v>
      </c>
      <c r="AF103" s="22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22">
        <f t="shared" ca="1" si="33"/>
        <v>4.3333333333333335E-2</v>
      </c>
      <c r="AF104" s="22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22">
        <f t="shared" ca="1" si="33"/>
        <v>4.3333333333333335E-2</v>
      </c>
      <c r="AF105" s="22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22">
        <f t="shared" ca="1" si="33"/>
        <v>4.3333333333333335E-2</v>
      </c>
      <c r="AF106" s="22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22">
        <f t="shared" ca="1" si="33"/>
        <v>4.3333333333333335E-2</v>
      </c>
      <c r="AF107" s="22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22">
        <f t="shared" ca="1" si="33"/>
        <v>4.3333333333333335E-2</v>
      </c>
      <c r="AF108" s="22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22">
        <f t="shared" ca="1" si="33"/>
        <v>4.3333333333333335E-2</v>
      </c>
      <c r="AF109" s="22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22">
        <f t="shared" ca="1" si="33"/>
        <v>4.3333333333333335E-2</v>
      </c>
      <c r="AF110" s="22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22">
        <f t="shared" ca="1" si="33"/>
        <v>4.3333333333333335E-2</v>
      </c>
      <c r="AF111" s="22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22">
        <f t="shared" ca="1" si="33"/>
        <v>4.3333333333333335E-2</v>
      </c>
      <c r="AF112" s="22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22">
        <f t="shared" ca="1" si="33"/>
        <v>4.3333333333333335E-2</v>
      </c>
      <c r="AF113" s="22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22">
        <f t="shared" ca="1" si="33"/>
        <v>4.3333333333333335E-2</v>
      </c>
      <c r="AF114" s="22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22">
        <f t="shared" ca="1" si="33"/>
        <v>4.3333333333333335E-2</v>
      </c>
      <c r="AF115" s="22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22">
        <f t="shared" ca="1" si="33"/>
        <v>4.3333333333333335E-2</v>
      </c>
      <c r="AF116" s="22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22">
        <f t="shared" ca="1" si="33"/>
        <v>4.3333333333333335E-2</v>
      </c>
      <c r="AF117" s="22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22">
        <f t="shared" ca="1" si="33"/>
        <v>4.3333333333333335E-2</v>
      </c>
      <c r="AF118" s="22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22">
        <f t="shared" ca="1" si="33"/>
        <v>4.3333333333333335E-2</v>
      </c>
      <c r="AF119" s="22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22">
        <f t="shared" ca="1" si="33"/>
        <v>4.3333333333333335E-2</v>
      </c>
      <c r="AF120" s="22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22">
        <f t="shared" ca="1" si="33"/>
        <v>4.3333333333333335E-2</v>
      </c>
      <c r="AF121" s="22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22">
        <f t="shared" ca="1" si="33"/>
        <v>4.3333333333333335E-2</v>
      </c>
      <c r="AF122" s="22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22">
        <f t="shared" ca="1" si="33"/>
        <v>4.3333333333333335E-2</v>
      </c>
      <c r="AF123" s="22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22">
        <f t="shared" ca="1" si="33"/>
        <v>4.3333333333333335E-2</v>
      </c>
      <c r="AF124" s="22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22">
        <f t="shared" ca="1" si="33"/>
        <v>4.3333333333333335E-2</v>
      </c>
      <c r="AF125" s="22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22">
        <f t="shared" ca="1" si="33"/>
        <v>4.3333333333333335E-2</v>
      </c>
      <c r="AF126" s="22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22">
        <f t="shared" ca="1" si="33"/>
        <v>4.3333333333333335E-2</v>
      </c>
      <c r="AF127" s="22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22">
        <f t="shared" ca="1" si="33"/>
        <v>4.3333333333333335E-2</v>
      </c>
      <c r="AF128" s="22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22">
        <f t="shared" ca="1" si="33"/>
        <v>4.3333333333333335E-2</v>
      </c>
      <c r="AF129" s="22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22">
        <f t="shared" ca="1" si="33"/>
        <v>4.3333333333333335E-2</v>
      </c>
      <c r="AF130" s="22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22">
        <f t="shared" ca="1" si="33"/>
        <v>4.3333333333333335E-2</v>
      </c>
      <c r="AF131" s="22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22">
        <f t="shared" ca="1" si="33"/>
        <v>4.3333333333333335E-2</v>
      </c>
      <c r="AF132" s="22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22">
        <f t="shared" ca="1" si="33"/>
        <v>4.3333333333333335E-2</v>
      </c>
      <c r="AF133" s="22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22">
        <f t="shared" ca="1" si="33"/>
        <v>4.3333333333333335E-2</v>
      </c>
      <c r="AF134" s="22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22">
        <f t="shared" ca="1" si="33"/>
        <v>4.3333333333333335E-2</v>
      </c>
      <c r="AF135" s="22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135</v>
      </c>
      <c r="AE136" s="22">
        <f ca="1">SUM(AE100:AE135)</f>
        <v>1.5600000000000014</v>
      </c>
      <c r="AF136" s="22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136</v>
      </c>
      <c r="AE137" s="22">
        <v>36</v>
      </c>
      <c r="AF137" s="2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5.75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22" t="s">
        <v>138</v>
      </c>
      <c r="AE138" s="22">
        <f ca="1">AE136/AE137</f>
        <v>4.333333333333337E-2</v>
      </c>
      <c r="AF138" s="22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E6182-CA3E-47A1-9813-9F7BED92AFED}">
  <sheetPr codeName="Sheet12"/>
  <dimension ref="A1:AN150"/>
  <sheetViews>
    <sheetView topLeftCell="W85" workbookViewId="0">
      <selection activeCell="AJ6" sqref="AJ6"/>
    </sheetView>
  </sheetViews>
  <sheetFormatPr defaultRowHeight="14.25" x14ac:dyDescent="0.2"/>
  <cols>
    <col min="1" max="1" width="10.25" hidden="1" customWidth="1"/>
    <col min="2" max="2" width="14.5" hidden="1" customWidth="1"/>
    <col min="3" max="7" width="10.75" hidden="1" customWidth="1"/>
    <col min="8" max="8" width="10.75" customWidth="1"/>
    <col min="9" max="9" width="11.25" customWidth="1"/>
    <col min="10" max="15" width="10.75" customWidth="1"/>
    <col min="16" max="22" width="9" hidden="1" customWidth="1"/>
    <col min="23" max="23" width="9" customWidth="1"/>
    <col min="24" max="30" width="9" hidden="1" customWidth="1"/>
    <col min="31" max="31" width="10.375" hidden="1" customWidth="1"/>
    <col min="32" max="40" width="9" hidden="1" customWidth="1"/>
  </cols>
  <sheetData>
    <row r="1" spans="1:40" ht="18" thickBot="1" x14ac:dyDescent="0.35">
      <c r="A1" s="22"/>
      <c r="B1" s="22"/>
      <c r="C1" s="22"/>
      <c r="D1" s="22"/>
      <c r="E1" s="22"/>
      <c r="F1" s="22"/>
      <c r="G1" s="22"/>
      <c r="H1" s="22"/>
      <c r="I1" s="4" t="s">
        <v>20</v>
      </c>
      <c r="J1" s="4" t="s">
        <v>47</v>
      </c>
      <c r="K1" s="4" t="s">
        <v>48</v>
      </c>
      <c r="L1" s="4" t="s">
        <v>49</v>
      </c>
      <c r="M1" s="4" t="s">
        <v>50</v>
      </c>
      <c r="N1" s="4" t="s">
        <v>51</v>
      </c>
      <c r="O1" s="4" t="s">
        <v>52</v>
      </c>
      <c r="P1" s="22"/>
      <c r="Q1" s="22"/>
      <c r="R1" s="22"/>
      <c r="S1" s="22"/>
      <c r="T1" s="22"/>
      <c r="U1" s="22"/>
      <c r="V1" s="22"/>
      <c r="W1" s="22"/>
      <c r="X1" s="23" t="s">
        <v>121</v>
      </c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40" ht="21.75" thickTop="1" thickBot="1" x14ac:dyDescent="0.35">
      <c r="A2" s="4" t="s">
        <v>20</v>
      </c>
      <c r="B2" s="4" t="s">
        <v>47</v>
      </c>
      <c r="C2" s="4" t="s">
        <v>48</v>
      </c>
      <c r="D2" s="4" t="s">
        <v>49</v>
      </c>
      <c r="E2" s="4" t="s">
        <v>50</v>
      </c>
      <c r="F2" s="4" t="s">
        <v>51</v>
      </c>
      <c r="G2" s="4" t="s">
        <v>52</v>
      </c>
      <c r="H2" s="33"/>
      <c r="I2" s="17" t="s">
        <v>53</v>
      </c>
      <c r="J2" s="34" t="s">
        <v>46</v>
      </c>
      <c r="K2" s="34" t="s">
        <v>46</v>
      </c>
      <c r="L2" s="34" t="s">
        <v>46</v>
      </c>
      <c r="M2" s="34" t="s">
        <v>46</v>
      </c>
      <c r="N2" s="34" t="s">
        <v>46</v>
      </c>
      <c r="O2" s="34" t="s">
        <v>46</v>
      </c>
      <c r="P2" s="22"/>
      <c r="Q2" s="22"/>
      <c r="R2" s="22"/>
      <c r="S2" s="22"/>
      <c r="T2" s="22"/>
      <c r="U2" s="22"/>
      <c r="V2" s="22"/>
      <c r="W2" s="22"/>
      <c r="X2" s="6" t="s">
        <v>122</v>
      </c>
      <c r="Y2" s="6"/>
      <c r="Z2" s="6"/>
      <c r="AA2" s="6"/>
      <c r="AB2" s="6"/>
      <c r="AC2" s="6"/>
      <c r="AD2" s="6" t="s">
        <v>21</v>
      </c>
      <c r="AE2" s="6" t="s">
        <v>37</v>
      </c>
      <c r="AF2" s="24" t="s">
        <v>123</v>
      </c>
      <c r="AG2" s="24"/>
      <c r="AH2" s="6"/>
      <c r="AI2" s="13"/>
      <c r="AJ2" s="7"/>
      <c r="AK2" s="13"/>
      <c r="AL2" s="13"/>
      <c r="AM2" s="13"/>
      <c r="AN2" s="13"/>
    </row>
    <row r="3" spans="1:40" ht="16.5" thickTop="1" x14ac:dyDescent="0.25">
      <c r="A3" s="2">
        <v>400</v>
      </c>
      <c r="B3" s="16">
        <f ca="1">IF(INDIRECT("J"&amp;ROW(B3)*2-3)/100&gt;0,INDIRECT("J"&amp;ROW(B3)*2-3)/100,0)</f>
        <v>0.02</v>
      </c>
      <c r="C3" s="16">
        <f ca="1">IF(INDIRECT("k"&amp;ROW(C3)*2-3)/100&gt;0,INDIRECT("k"&amp;ROW(C3)*2-3)/100,0)</f>
        <v>0.04</v>
      </c>
      <c r="D3" s="16">
        <f ca="1">IF(INDIRECT("L"&amp;ROW(D3)*2-3)/100&gt;0,INDIRECT("L"&amp;ROW(D3)*2-3)/100,0)</f>
        <v>0.05</v>
      </c>
      <c r="E3" s="16">
        <f ca="1">IF(INDIRECT("M"&amp;ROW(E3)*2-3)/100&gt;0,INDIRECT("M"&amp;ROW(E3)*2-3)/100,0)</f>
        <v>2.5000000000000001E-2</v>
      </c>
      <c r="F3" s="16">
        <f ca="1">IF(INDIRECT("N"&amp;ROW(F3)*2-3)/100&gt;0,INDIRECT("N"&amp;ROW(F3)*2-3)/100,0)</f>
        <v>0</v>
      </c>
      <c r="G3" s="16">
        <f ca="1">IF(INDIRECT("O"&amp;ROW(G3)*2-3)/100&gt;0,INDIRECT("O"&amp;ROW(G3)*2-3)/100,0)</f>
        <v>0</v>
      </c>
      <c r="H3" s="11"/>
      <c r="I3" s="2">
        <v>400</v>
      </c>
      <c r="J3" s="18">
        <v>2</v>
      </c>
      <c r="K3" s="18">
        <v>4</v>
      </c>
      <c r="L3" s="18">
        <v>5</v>
      </c>
      <c r="M3" s="18">
        <v>2.5</v>
      </c>
      <c r="N3" s="18">
        <v>-7</v>
      </c>
      <c r="O3" s="18">
        <v>-6</v>
      </c>
      <c r="P3" s="6">
        <v>400</v>
      </c>
      <c r="Q3" s="16">
        <f ca="1">IF(INDIRECT("J"&amp;ROW(Q3)*5-12)/100&gt;0,INDIRECT("J"&amp;ROW(Q3)*5-12)/100,0)</f>
        <v>0.02</v>
      </c>
      <c r="R3" s="16">
        <f ca="1">IF(INDIRECT("K"&amp;ROW(R3)*5-12)/100&gt;0,INDIRECT("K"&amp;ROW(R3)*5-12)/100,0)</f>
        <v>0.04</v>
      </c>
      <c r="S3" s="16">
        <f ca="1">IF(INDIRECT("L"&amp;ROW(S3)*5-12)/100&gt;0,INDIRECT("L"&amp;ROW(S3)*5-12)/100,0)</f>
        <v>0.05</v>
      </c>
      <c r="T3" s="16">
        <f ca="1">IF(INDIRECT("M"&amp;ROW(T3)*5-12)/100&gt;0,INDIRECT("M"&amp;ROW(T3)*5-12)/100,0)</f>
        <v>2.5000000000000001E-2</v>
      </c>
      <c r="U3" s="16">
        <f ca="1">IF(INDIRECT("N"&amp;ROW(U3)*5-12)/100&gt;0,INDIRECT("N"&amp;ROW(U3)*5-12)/100,0)</f>
        <v>0</v>
      </c>
      <c r="V3" s="16">
        <f ca="1">IF(INDIRECT("O"&amp;ROW(V3)*5-12)/100&gt;0,INDIRECT("O"&amp;ROW(V3)*5-12)/100,0)</f>
        <v>0</v>
      </c>
      <c r="W3" s="22"/>
      <c r="X3" s="6" t="s">
        <v>21</v>
      </c>
      <c r="Y3" s="9" t="s">
        <v>124</v>
      </c>
      <c r="Z3" s="12" t="s">
        <v>125</v>
      </c>
      <c r="AA3" s="9"/>
      <c r="AB3" s="9"/>
      <c r="AC3" s="9"/>
      <c r="AD3" s="9"/>
      <c r="AE3" s="22"/>
      <c r="AF3" s="6" t="s">
        <v>126</v>
      </c>
      <c r="AG3" s="6"/>
      <c r="AH3" s="22"/>
      <c r="AI3" s="22"/>
      <c r="AJ3" s="8"/>
      <c r="AK3" s="22"/>
      <c r="AL3" s="22"/>
      <c r="AM3" s="22"/>
      <c r="AN3" s="22"/>
    </row>
    <row r="4" spans="1:40" ht="15.75" x14ac:dyDescent="0.25">
      <c r="A4" s="2">
        <v>398</v>
      </c>
      <c r="B4" s="16">
        <f t="shared" ref="B4:B63" ca="1" si="0">IF(INDIRECT("J"&amp;ROW(B4)*2-3)/100&gt;0,INDIRECT("J"&amp;ROW(B4)*2-3)/100,0)</f>
        <v>0.05</v>
      </c>
      <c r="C4" s="16">
        <f t="shared" ref="C4:C63" ca="1" si="1">IF(INDIRECT("k"&amp;ROW(C4)*2-3)/100&gt;0,INDIRECT("k"&amp;ROW(C4)*2-3)/100,0)</f>
        <v>0.05</v>
      </c>
      <c r="D4" s="16">
        <f t="shared" ref="D4:D63" ca="1" si="2">IF(INDIRECT("L"&amp;ROW(D4)*2-3)/100&gt;0,INDIRECT("L"&amp;ROW(D4)*2-3)/100,0)</f>
        <v>0.05</v>
      </c>
      <c r="E4" s="16">
        <f t="shared" ref="E4:E63" ca="1" si="3">IF(INDIRECT("M"&amp;ROW(E4)*2-3)/100&gt;0,INDIRECT("M"&amp;ROW(E4)*2-3)/100,0)</f>
        <v>0.01</v>
      </c>
      <c r="F4" s="16">
        <f t="shared" ref="F4:F63" ca="1" si="4">IF(INDIRECT("N"&amp;ROW(F4)*2-3)/100&gt;0,INDIRECT("N"&amp;ROW(F4)*2-3)/100,0)</f>
        <v>0.01</v>
      </c>
      <c r="G4" s="16">
        <f t="shared" ref="G4:G63" ca="1" si="5">IF(INDIRECT("O"&amp;ROW(G4)*2-3)/100&gt;0,INDIRECT("O"&amp;ROW(G4)*2-3)/100,0)</f>
        <v>0.01</v>
      </c>
      <c r="H4" s="11"/>
      <c r="I4" s="2">
        <v>399</v>
      </c>
      <c r="J4" s="18">
        <v>4</v>
      </c>
      <c r="K4" s="18">
        <v>4</v>
      </c>
      <c r="L4" s="18">
        <v>5</v>
      </c>
      <c r="M4" s="18">
        <v>2</v>
      </c>
      <c r="N4" s="18">
        <v>2</v>
      </c>
      <c r="O4" s="18">
        <v>2</v>
      </c>
      <c r="P4" s="6">
        <v>395</v>
      </c>
      <c r="Q4" s="16">
        <f t="shared" ref="Q4:Q27" ca="1" si="6">IF(INDIRECT("J"&amp;ROW(Q4)*5-12)/100&gt;0,INDIRECT("J"&amp;ROW(Q4)*5-12)/100,0)</f>
        <v>0.04</v>
      </c>
      <c r="R4" s="16">
        <f t="shared" ref="R4:R27" ca="1" si="7">IF(INDIRECT("K"&amp;ROW(R4)*5-12)/100&gt;0,INDIRECT("K"&amp;ROW(R4)*5-12)/100,0)</f>
        <v>0.04</v>
      </c>
      <c r="S4" s="16">
        <f t="shared" ref="S4:S27" ca="1" si="8">IF(INDIRECT("L"&amp;ROW(S4)*5-12)/100&gt;0,INDIRECT("L"&amp;ROW(S4)*5-12)/100,0)</f>
        <v>0.05</v>
      </c>
      <c r="T4" s="16">
        <f t="shared" ref="T4:T27" ca="1" si="9">IF(INDIRECT("M"&amp;ROW(T4)*5-12)/100&gt;0,INDIRECT("M"&amp;ROW(T4)*5-12)/100,0)</f>
        <v>0.04</v>
      </c>
      <c r="U4" s="16">
        <f t="shared" ref="U4:U27" ca="1" si="10">IF(INDIRECT("N"&amp;ROW(U4)*5-12)/100&gt;0,INDIRECT("N"&amp;ROW(U4)*5-12)/100,0)</f>
        <v>0.04</v>
      </c>
      <c r="V4" s="16">
        <f t="shared" ref="V4:V27" ca="1" si="11">IF(INDIRECT("O"&amp;ROW(V4)*5-12)/100&gt;0,INDIRECT("O"&amp;ROW(V4)*5-12)/100,0)</f>
        <v>0.04</v>
      </c>
      <c r="W4" s="22"/>
      <c r="X4" s="6"/>
      <c r="Y4" s="6"/>
      <c r="Z4" s="8" t="s">
        <v>127</v>
      </c>
      <c r="AA4" s="6"/>
      <c r="AB4" s="6"/>
      <c r="AC4" s="6"/>
      <c r="AD4" s="6" t="s">
        <v>128</v>
      </c>
      <c r="AE4" s="22"/>
      <c r="AF4" s="6"/>
      <c r="AG4" s="6"/>
      <c r="AH4" s="14"/>
      <c r="AI4" s="6"/>
      <c r="AJ4" s="6"/>
      <c r="AK4" s="6"/>
      <c r="AL4" s="6"/>
      <c r="AM4" s="6"/>
      <c r="AN4" s="6"/>
    </row>
    <row r="5" spans="1:40" ht="15.75" x14ac:dyDescent="0.25">
      <c r="A5" s="2">
        <v>396</v>
      </c>
      <c r="B5" s="16">
        <f t="shared" ca="1" si="0"/>
        <v>0.04</v>
      </c>
      <c r="C5" s="16">
        <f t="shared" ca="1" si="1"/>
        <v>0.04</v>
      </c>
      <c r="D5" s="16">
        <f t="shared" ca="1" si="2"/>
        <v>0.05</v>
      </c>
      <c r="E5" s="16">
        <f t="shared" ca="1" si="3"/>
        <v>0.03</v>
      </c>
      <c r="F5" s="16">
        <f t="shared" ca="1" si="4"/>
        <v>0.03</v>
      </c>
      <c r="G5" s="16">
        <f t="shared" ca="1" si="5"/>
        <v>0.03</v>
      </c>
      <c r="H5" s="11"/>
      <c r="I5" s="2">
        <v>398</v>
      </c>
      <c r="J5" s="18">
        <v>5</v>
      </c>
      <c r="K5" s="18">
        <v>5</v>
      </c>
      <c r="L5" s="18">
        <v>5</v>
      </c>
      <c r="M5" s="18">
        <v>1</v>
      </c>
      <c r="N5" s="18">
        <v>1</v>
      </c>
      <c r="O5" s="18">
        <v>1</v>
      </c>
      <c r="P5" s="6">
        <v>390</v>
      </c>
      <c r="Q5" s="16">
        <f t="shared" ca="1" si="6"/>
        <v>0.04</v>
      </c>
      <c r="R5" s="16">
        <f t="shared" ca="1" si="7"/>
        <v>0.04</v>
      </c>
      <c r="S5" s="16">
        <f t="shared" ca="1" si="8"/>
        <v>0.05</v>
      </c>
      <c r="T5" s="16">
        <f t="shared" ca="1" si="9"/>
        <v>0.01</v>
      </c>
      <c r="U5" s="16">
        <f t="shared" ca="1" si="10"/>
        <v>0.01</v>
      </c>
      <c r="V5" s="16">
        <f t="shared" ca="1" si="11"/>
        <v>0.01</v>
      </c>
      <c r="W5" s="22"/>
      <c r="X5" s="6" t="s">
        <v>25</v>
      </c>
      <c r="Y5" s="6" t="s">
        <v>26</v>
      </c>
      <c r="Z5" s="6"/>
      <c r="AA5" s="6" t="s">
        <v>129</v>
      </c>
      <c r="AB5" s="6" t="s">
        <v>130</v>
      </c>
      <c r="AC5" s="6"/>
      <c r="AD5" s="6" t="s">
        <v>25</v>
      </c>
      <c r="AE5" s="23" t="s">
        <v>26</v>
      </c>
      <c r="AF5" s="23"/>
      <c r="AG5" s="6"/>
      <c r="AH5" s="6"/>
      <c r="AI5" s="6"/>
      <c r="AJ5" s="6"/>
      <c r="AK5" s="6"/>
      <c r="AL5" s="6"/>
      <c r="AM5" s="6"/>
      <c r="AN5" s="6"/>
    </row>
    <row r="6" spans="1:40" ht="15.75" x14ac:dyDescent="0.25">
      <c r="A6" s="2">
        <v>394</v>
      </c>
      <c r="B6" s="16">
        <f t="shared" ca="1" si="0"/>
        <v>0.04</v>
      </c>
      <c r="C6" s="16">
        <f t="shared" ca="1" si="1"/>
        <v>0.04</v>
      </c>
      <c r="D6" s="16">
        <f t="shared" ca="1" si="2"/>
        <v>0.05</v>
      </c>
      <c r="E6" s="16">
        <f t="shared" ca="1" si="3"/>
        <v>0.02</v>
      </c>
      <c r="F6" s="16">
        <f t="shared" ca="1" si="4"/>
        <v>0.02</v>
      </c>
      <c r="G6" s="16">
        <f t="shared" ca="1" si="5"/>
        <v>0.02</v>
      </c>
      <c r="H6" s="11"/>
      <c r="I6" s="2">
        <v>397</v>
      </c>
      <c r="J6" s="18">
        <v>4</v>
      </c>
      <c r="K6" s="18">
        <v>4</v>
      </c>
      <c r="L6" s="18">
        <v>5</v>
      </c>
      <c r="M6" s="18">
        <v>2</v>
      </c>
      <c r="N6" s="18">
        <v>2</v>
      </c>
      <c r="O6" s="18">
        <v>2</v>
      </c>
      <c r="P6" s="6">
        <v>385</v>
      </c>
      <c r="Q6" s="16">
        <f t="shared" ca="1" si="6"/>
        <v>0.04</v>
      </c>
      <c r="R6" s="16">
        <f t="shared" ca="1" si="7"/>
        <v>0.04</v>
      </c>
      <c r="S6" s="16">
        <f t="shared" ca="1" si="8"/>
        <v>0.05</v>
      </c>
      <c r="T6" s="16">
        <f t="shared" ca="1" si="9"/>
        <v>0.01</v>
      </c>
      <c r="U6" s="16">
        <f t="shared" ca="1" si="10"/>
        <v>0.01</v>
      </c>
      <c r="V6" s="16">
        <f t="shared" ca="1" si="11"/>
        <v>0.01</v>
      </c>
      <c r="W6" s="22"/>
      <c r="X6" s="6" t="s">
        <v>1</v>
      </c>
      <c r="Y6" s="6" t="s">
        <v>27</v>
      </c>
      <c r="Z6" s="6"/>
      <c r="AA6" s="6" t="s">
        <v>131</v>
      </c>
      <c r="AB6" s="6" t="s">
        <v>132</v>
      </c>
      <c r="AC6" s="6"/>
      <c r="AD6" s="6" t="s">
        <v>1</v>
      </c>
      <c r="AE6" s="23" t="s">
        <v>27</v>
      </c>
      <c r="AF6" s="23"/>
      <c r="AG6" s="6"/>
      <c r="AH6" s="6"/>
      <c r="AI6" s="6"/>
      <c r="AJ6" s="6"/>
      <c r="AK6" s="6"/>
      <c r="AL6" s="6"/>
      <c r="AM6" s="6"/>
      <c r="AN6" s="19"/>
    </row>
    <row r="7" spans="1:40" ht="15.75" x14ac:dyDescent="0.25">
      <c r="A7" s="2">
        <v>392</v>
      </c>
      <c r="B7" s="16">
        <f t="shared" ca="1" si="0"/>
        <v>0.04</v>
      </c>
      <c r="C7" s="16">
        <f t="shared" ca="1" si="1"/>
        <v>0.04</v>
      </c>
      <c r="D7" s="16">
        <f t="shared" ca="1" si="2"/>
        <v>0.05</v>
      </c>
      <c r="E7" s="16">
        <f t="shared" ca="1" si="3"/>
        <v>0.01</v>
      </c>
      <c r="F7" s="16">
        <f t="shared" ca="1" si="4"/>
        <v>0.01</v>
      </c>
      <c r="G7" s="16">
        <f t="shared" ca="1" si="5"/>
        <v>0.01</v>
      </c>
      <c r="H7" s="11"/>
      <c r="I7" s="2">
        <v>396</v>
      </c>
      <c r="J7" s="18">
        <v>4</v>
      </c>
      <c r="K7" s="18">
        <v>4</v>
      </c>
      <c r="L7" s="18">
        <v>5</v>
      </c>
      <c r="M7" s="18">
        <v>3</v>
      </c>
      <c r="N7" s="18">
        <v>3</v>
      </c>
      <c r="O7" s="18">
        <v>3</v>
      </c>
      <c r="P7" s="6">
        <v>380</v>
      </c>
      <c r="Q7" s="16">
        <f t="shared" ca="1" si="6"/>
        <v>0.04</v>
      </c>
      <c r="R7" s="16">
        <f t="shared" ca="1" si="7"/>
        <v>0.04</v>
      </c>
      <c r="S7" s="16">
        <f t="shared" ca="1" si="8"/>
        <v>0.05</v>
      </c>
      <c r="T7" s="16">
        <f t="shared" ca="1" si="9"/>
        <v>0.01</v>
      </c>
      <c r="U7" s="16">
        <f t="shared" ca="1" si="10"/>
        <v>0.01</v>
      </c>
      <c r="V7" s="16">
        <f t="shared" ca="1" si="11"/>
        <v>0.01</v>
      </c>
      <c r="W7" s="22"/>
      <c r="X7" s="25">
        <v>400</v>
      </c>
      <c r="Y7" s="26">
        <f ca="1">AVERAGE(B3:D3)</f>
        <v>3.6666666666666667E-2</v>
      </c>
      <c r="Z7" s="26">
        <f ca="1">AVERAGE(E3:G3)</f>
        <v>8.3333333333333332E-3</v>
      </c>
      <c r="AA7" s="26">
        <v>1.22E-4</v>
      </c>
      <c r="AB7" s="26">
        <v>1.01E-4</v>
      </c>
      <c r="AC7" s="26"/>
      <c r="AD7" s="25">
        <v>400</v>
      </c>
      <c r="AE7" s="27">
        <f ca="1">AVERAGE(Q30:S30)</f>
        <v>3.6666666666666667E-2</v>
      </c>
      <c r="AF7" s="27">
        <f ca="1">AVERAGE(T30:V30)</f>
        <v>8.3333333333333332E-3</v>
      </c>
      <c r="AG7" s="22"/>
      <c r="AH7" s="6"/>
      <c r="AI7" s="28"/>
      <c r="AJ7" s="28"/>
      <c r="AK7" s="28"/>
      <c r="AL7" s="28"/>
      <c r="AM7" s="28"/>
      <c r="AN7" s="28"/>
    </row>
    <row r="8" spans="1:40" ht="15.75" x14ac:dyDescent="0.25">
      <c r="A8" s="2">
        <v>390</v>
      </c>
      <c r="B8" s="16">
        <f t="shared" ca="1" si="0"/>
        <v>0.04</v>
      </c>
      <c r="C8" s="16">
        <f t="shared" ca="1" si="1"/>
        <v>0.04</v>
      </c>
      <c r="D8" s="16">
        <f t="shared" ca="1" si="2"/>
        <v>0.05</v>
      </c>
      <c r="E8" s="16">
        <f t="shared" ca="1" si="3"/>
        <v>0.01</v>
      </c>
      <c r="F8" s="16">
        <f t="shared" ca="1" si="4"/>
        <v>0.01</v>
      </c>
      <c r="G8" s="16">
        <f t="shared" ca="1" si="5"/>
        <v>0.01</v>
      </c>
      <c r="H8" s="11"/>
      <c r="I8" s="2">
        <v>395</v>
      </c>
      <c r="J8" s="18">
        <v>4</v>
      </c>
      <c r="K8" s="18">
        <v>4</v>
      </c>
      <c r="L8" s="18">
        <v>5</v>
      </c>
      <c r="M8" s="18">
        <v>4</v>
      </c>
      <c r="N8" s="18">
        <v>4</v>
      </c>
      <c r="O8" s="18">
        <v>4</v>
      </c>
      <c r="P8" s="6">
        <v>375</v>
      </c>
      <c r="Q8" s="16">
        <f t="shared" ca="1" si="6"/>
        <v>0.04</v>
      </c>
      <c r="R8" s="16">
        <f t="shared" ca="1" si="7"/>
        <v>0.04</v>
      </c>
      <c r="S8" s="16">
        <f t="shared" ca="1" si="8"/>
        <v>0.05</v>
      </c>
      <c r="T8" s="16">
        <f t="shared" ca="1" si="9"/>
        <v>0.01</v>
      </c>
      <c r="U8" s="16">
        <f t="shared" ca="1" si="10"/>
        <v>0.01</v>
      </c>
      <c r="V8" s="16">
        <f t="shared" ca="1" si="11"/>
        <v>0.01</v>
      </c>
      <c r="W8" s="22"/>
      <c r="X8" s="25">
        <v>398</v>
      </c>
      <c r="Y8" s="26">
        <f t="shared" ref="Y8:Y67" ca="1" si="12">AVERAGE(B4:D4)</f>
        <v>5.000000000000001E-2</v>
      </c>
      <c r="Z8" s="26">
        <f t="shared" ref="Z8:Z67" ca="1" si="13">AVERAGE(E4:G4)</f>
        <v>0.01</v>
      </c>
      <c r="AA8" s="26">
        <v>1.2999999999999999E-4</v>
      </c>
      <c r="AB8" s="26">
        <v>8.0099999999999995E-5</v>
      </c>
      <c r="AC8" s="26"/>
      <c r="AD8" s="25">
        <v>399</v>
      </c>
      <c r="AE8" s="27">
        <f t="shared" ref="AE8:AE71" ca="1" si="14">AVERAGE(Q31:S31)</f>
        <v>4.3333333333333335E-2</v>
      </c>
      <c r="AF8" s="27">
        <f t="shared" ref="AF8:AF71" ca="1" si="15">AVERAGE(T31:V31)</f>
        <v>0.02</v>
      </c>
      <c r="AG8" s="22"/>
      <c r="AH8" s="6"/>
      <c r="AI8" s="28"/>
      <c r="AJ8" s="28"/>
      <c r="AK8" s="28"/>
      <c r="AL8" s="28"/>
      <c r="AM8" s="28"/>
      <c r="AN8" s="28"/>
    </row>
    <row r="9" spans="1:40" ht="15.75" x14ac:dyDescent="0.25">
      <c r="A9" s="2">
        <v>388</v>
      </c>
      <c r="B9" s="16">
        <f t="shared" ca="1" si="0"/>
        <v>0.04</v>
      </c>
      <c r="C9" s="16">
        <f t="shared" ca="1" si="1"/>
        <v>0.04</v>
      </c>
      <c r="D9" s="16">
        <f t="shared" ca="1" si="2"/>
        <v>0.05</v>
      </c>
      <c r="E9" s="16">
        <f t="shared" ca="1" si="3"/>
        <v>0</v>
      </c>
      <c r="F9" s="16">
        <f t="shared" ca="1" si="4"/>
        <v>0</v>
      </c>
      <c r="G9" s="16">
        <f t="shared" ca="1" si="5"/>
        <v>0</v>
      </c>
      <c r="H9" s="11"/>
      <c r="I9" s="2">
        <v>394</v>
      </c>
      <c r="J9" s="18">
        <v>4</v>
      </c>
      <c r="K9" s="18">
        <v>4</v>
      </c>
      <c r="L9" s="18">
        <v>5</v>
      </c>
      <c r="M9" s="18">
        <v>2</v>
      </c>
      <c r="N9" s="18">
        <v>2</v>
      </c>
      <c r="O9" s="18">
        <v>2</v>
      </c>
      <c r="P9" s="6">
        <v>370</v>
      </c>
      <c r="Q9" s="16">
        <f t="shared" ca="1" si="6"/>
        <v>0.04</v>
      </c>
      <c r="R9" s="16">
        <f t="shared" ca="1" si="7"/>
        <v>0.04</v>
      </c>
      <c r="S9" s="16">
        <f t="shared" ca="1" si="8"/>
        <v>0.05</v>
      </c>
      <c r="T9" s="16">
        <f t="shared" ca="1" si="9"/>
        <v>0.01</v>
      </c>
      <c r="U9" s="16">
        <f t="shared" ca="1" si="10"/>
        <v>0.01</v>
      </c>
      <c r="V9" s="16">
        <f t="shared" ca="1" si="11"/>
        <v>0.01</v>
      </c>
      <c r="W9" s="22"/>
      <c r="X9" s="25">
        <v>396</v>
      </c>
      <c r="Y9" s="26">
        <f t="shared" ca="1" si="12"/>
        <v>4.3333333333333335E-2</v>
      </c>
      <c r="Z9" s="26">
        <f t="shared" ca="1" si="13"/>
        <v>0.03</v>
      </c>
      <c r="AA9" s="26">
        <v>1.3999999999999999E-4</v>
      </c>
      <c r="AB9" s="26">
        <v>6.8100000000000002E-5</v>
      </c>
      <c r="AC9" s="26"/>
      <c r="AD9" s="25">
        <v>398</v>
      </c>
      <c r="AE9" s="27">
        <f t="shared" ca="1" si="14"/>
        <v>5.000000000000001E-2</v>
      </c>
      <c r="AF9" s="27">
        <f t="shared" ca="1" si="15"/>
        <v>0.01</v>
      </c>
      <c r="AG9" s="22"/>
      <c r="AH9" s="6"/>
      <c r="AI9" s="28"/>
      <c r="AJ9" s="28"/>
      <c r="AK9" s="28"/>
      <c r="AL9" s="28"/>
      <c r="AM9" s="28"/>
      <c r="AN9" s="28"/>
    </row>
    <row r="10" spans="1:40" ht="15.75" x14ac:dyDescent="0.25">
      <c r="A10" s="2">
        <v>386</v>
      </c>
      <c r="B10" s="16">
        <f t="shared" ca="1" si="0"/>
        <v>0.04</v>
      </c>
      <c r="C10" s="16">
        <f t="shared" ca="1" si="1"/>
        <v>0.04</v>
      </c>
      <c r="D10" s="16">
        <f t="shared" ca="1" si="2"/>
        <v>0.05</v>
      </c>
      <c r="E10" s="16">
        <f t="shared" ca="1" si="3"/>
        <v>0.01</v>
      </c>
      <c r="F10" s="16">
        <f t="shared" ca="1" si="4"/>
        <v>0.01</v>
      </c>
      <c r="G10" s="16">
        <f t="shared" ca="1" si="5"/>
        <v>0.01</v>
      </c>
      <c r="H10" s="11"/>
      <c r="I10" s="2">
        <v>393</v>
      </c>
      <c r="J10" s="18">
        <v>4</v>
      </c>
      <c r="K10" s="18">
        <v>4</v>
      </c>
      <c r="L10" s="18">
        <v>5</v>
      </c>
      <c r="M10" s="18">
        <v>5</v>
      </c>
      <c r="N10" s="18">
        <v>5</v>
      </c>
      <c r="O10" s="18">
        <v>5</v>
      </c>
      <c r="P10" s="6">
        <v>365</v>
      </c>
      <c r="Q10" s="16">
        <f t="shared" ca="1" si="6"/>
        <v>0.04</v>
      </c>
      <c r="R10" s="16">
        <f t="shared" ca="1" si="7"/>
        <v>0.04</v>
      </c>
      <c r="S10" s="16">
        <f t="shared" ca="1" si="8"/>
        <v>0.05</v>
      </c>
      <c r="T10" s="16">
        <f t="shared" ca="1" si="9"/>
        <v>0.01</v>
      </c>
      <c r="U10" s="16">
        <f t="shared" ca="1" si="10"/>
        <v>0.01</v>
      </c>
      <c r="V10" s="16">
        <f t="shared" ca="1" si="11"/>
        <v>0.01</v>
      </c>
      <c r="W10" s="22"/>
      <c r="X10" s="25">
        <v>394</v>
      </c>
      <c r="Y10" s="26">
        <f t="shared" ca="1" si="12"/>
        <v>4.3333333333333335E-2</v>
      </c>
      <c r="Z10" s="26">
        <f t="shared" ca="1" si="13"/>
        <v>0.02</v>
      </c>
      <c r="AA10" s="26">
        <v>1.4999999999999999E-4</v>
      </c>
      <c r="AB10" s="26">
        <v>6.5500000000000006E-5</v>
      </c>
      <c r="AC10" s="26"/>
      <c r="AD10" s="25">
        <v>397</v>
      </c>
      <c r="AE10" s="27">
        <f t="shared" ca="1" si="14"/>
        <v>4.3333333333333335E-2</v>
      </c>
      <c r="AF10" s="27">
        <f t="shared" ca="1" si="15"/>
        <v>0.02</v>
      </c>
      <c r="AG10" s="22"/>
      <c r="AH10" s="6"/>
      <c r="AI10" s="28"/>
      <c r="AJ10" s="28"/>
      <c r="AK10" s="28"/>
      <c r="AL10" s="28"/>
      <c r="AM10" s="28"/>
      <c r="AN10" s="28"/>
    </row>
    <row r="11" spans="1:40" ht="15.75" x14ac:dyDescent="0.25">
      <c r="A11" s="2">
        <v>384</v>
      </c>
      <c r="B11" s="16">
        <f t="shared" ca="1" si="0"/>
        <v>0.04</v>
      </c>
      <c r="C11" s="16">
        <f t="shared" ca="1" si="1"/>
        <v>0.04</v>
      </c>
      <c r="D11" s="16">
        <f t="shared" ca="1" si="2"/>
        <v>0.05</v>
      </c>
      <c r="E11" s="16">
        <f t="shared" ca="1" si="3"/>
        <v>0.01</v>
      </c>
      <c r="F11" s="16">
        <f t="shared" ca="1" si="4"/>
        <v>0.01</v>
      </c>
      <c r="G11" s="16">
        <f t="shared" ca="1" si="5"/>
        <v>0.01</v>
      </c>
      <c r="H11" s="11"/>
      <c r="I11" s="2">
        <v>392</v>
      </c>
      <c r="J11" s="18">
        <v>4</v>
      </c>
      <c r="K11" s="18">
        <v>4</v>
      </c>
      <c r="L11" s="18">
        <v>5</v>
      </c>
      <c r="M11" s="18">
        <v>1</v>
      </c>
      <c r="N11" s="18">
        <v>1</v>
      </c>
      <c r="O11" s="18">
        <v>1</v>
      </c>
      <c r="P11" s="6">
        <v>360</v>
      </c>
      <c r="Q11" s="16">
        <f t="shared" ca="1" si="6"/>
        <v>0.04</v>
      </c>
      <c r="R11" s="16">
        <f t="shared" ca="1" si="7"/>
        <v>0.04</v>
      </c>
      <c r="S11" s="16">
        <f t="shared" ca="1" si="8"/>
        <v>0.05</v>
      </c>
      <c r="T11" s="16">
        <f t="shared" ca="1" si="9"/>
        <v>0.01</v>
      </c>
      <c r="U11" s="16">
        <f t="shared" ca="1" si="10"/>
        <v>0.01</v>
      </c>
      <c r="V11" s="16">
        <f t="shared" ca="1" si="11"/>
        <v>0.01</v>
      </c>
      <c r="W11" s="22"/>
      <c r="X11" s="25">
        <v>392</v>
      </c>
      <c r="Y11" s="26">
        <f t="shared" ca="1" si="12"/>
        <v>4.3333333333333335E-2</v>
      </c>
      <c r="Z11" s="26">
        <f t="shared" ca="1" si="13"/>
        <v>0.01</v>
      </c>
      <c r="AA11" s="26">
        <v>1.6000000000000001E-4</v>
      </c>
      <c r="AB11" s="26">
        <v>7.1600000000000006E-5</v>
      </c>
      <c r="AC11" s="26"/>
      <c r="AD11" s="25">
        <v>396</v>
      </c>
      <c r="AE11" s="27">
        <f t="shared" ca="1" si="14"/>
        <v>4.3333333333333335E-2</v>
      </c>
      <c r="AF11" s="27">
        <f t="shared" ca="1" si="15"/>
        <v>0.03</v>
      </c>
      <c r="AG11" s="22"/>
      <c r="AH11" s="6"/>
      <c r="AI11" s="28"/>
      <c r="AJ11" s="28"/>
      <c r="AK11" s="28"/>
      <c r="AL11" s="28"/>
      <c r="AM11" s="28"/>
      <c r="AN11" s="28"/>
    </row>
    <row r="12" spans="1:40" ht="15.75" x14ac:dyDescent="0.25">
      <c r="A12" s="2">
        <v>382</v>
      </c>
      <c r="B12" s="16">
        <f t="shared" ca="1" si="0"/>
        <v>0.04</v>
      </c>
      <c r="C12" s="16">
        <f t="shared" ca="1" si="1"/>
        <v>0.04</v>
      </c>
      <c r="D12" s="16">
        <f t="shared" ca="1" si="2"/>
        <v>0.05</v>
      </c>
      <c r="E12" s="16">
        <f t="shared" ca="1" si="3"/>
        <v>0.01</v>
      </c>
      <c r="F12" s="16">
        <f t="shared" ca="1" si="4"/>
        <v>0.01</v>
      </c>
      <c r="G12" s="16">
        <f t="shared" ca="1" si="5"/>
        <v>0.01</v>
      </c>
      <c r="H12" s="11"/>
      <c r="I12" s="2">
        <v>391</v>
      </c>
      <c r="J12" s="18">
        <v>4</v>
      </c>
      <c r="K12" s="18">
        <v>4</v>
      </c>
      <c r="L12" s="18">
        <v>5</v>
      </c>
      <c r="M12" s="18">
        <v>4.3214285714285703</v>
      </c>
      <c r="N12" s="18">
        <v>4.3214285714285703</v>
      </c>
      <c r="O12" s="18">
        <v>4.3214285714285703</v>
      </c>
      <c r="P12" s="6">
        <v>355</v>
      </c>
      <c r="Q12" s="16">
        <f t="shared" ca="1" si="6"/>
        <v>0.04</v>
      </c>
      <c r="R12" s="16">
        <f t="shared" ca="1" si="7"/>
        <v>0.04</v>
      </c>
      <c r="S12" s="16">
        <f t="shared" ca="1" si="8"/>
        <v>0.05</v>
      </c>
      <c r="T12" s="16">
        <f t="shared" ca="1" si="9"/>
        <v>0.01</v>
      </c>
      <c r="U12" s="16">
        <f t="shared" ca="1" si="10"/>
        <v>0.01</v>
      </c>
      <c r="V12" s="16">
        <f t="shared" ca="1" si="11"/>
        <v>0.01</v>
      </c>
      <c r="W12" s="22"/>
      <c r="X12" s="25">
        <v>390</v>
      </c>
      <c r="Y12" s="26">
        <f t="shared" ca="1" si="12"/>
        <v>4.3333333333333335E-2</v>
      </c>
      <c r="Z12" s="26">
        <f t="shared" ca="1" si="13"/>
        <v>0.01</v>
      </c>
      <c r="AA12" s="26">
        <v>1.7200000000000001E-4</v>
      </c>
      <c r="AB12" s="26">
        <v>7.5699999999999997E-5</v>
      </c>
      <c r="AC12" s="26"/>
      <c r="AD12" s="25">
        <v>395</v>
      </c>
      <c r="AE12" s="27">
        <f t="shared" ca="1" si="14"/>
        <v>4.3333333333333335E-2</v>
      </c>
      <c r="AF12" s="27">
        <f t="shared" ca="1" si="15"/>
        <v>0.04</v>
      </c>
      <c r="AG12" s="22"/>
      <c r="AH12" s="6"/>
      <c r="AI12" s="28"/>
      <c r="AJ12" s="28"/>
      <c r="AK12" s="28"/>
      <c r="AL12" s="28"/>
      <c r="AM12" s="28"/>
      <c r="AN12" s="28"/>
    </row>
    <row r="13" spans="1:40" ht="15.75" x14ac:dyDescent="0.25">
      <c r="A13" s="2">
        <v>380</v>
      </c>
      <c r="B13" s="16">
        <f t="shared" ca="1" si="0"/>
        <v>0.04</v>
      </c>
      <c r="C13" s="16">
        <f t="shared" ca="1" si="1"/>
        <v>0.04</v>
      </c>
      <c r="D13" s="16">
        <f t="shared" ca="1" si="2"/>
        <v>0.05</v>
      </c>
      <c r="E13" s="16">
        <f t="shared" ca="1" si="3"/>
        <v>0.01</v>
      </c>
      <c r="F13" s="16">
        <f t="shared" ca="1" si="4"/>
        <v>0.01</v>
      </c>
      <c r="G13" s="16">
        <f t="shared" ca="1" si="5"/>
        <v>0.01</v>
      </c>
      <c r="H13" s="11"/>
      <c r="I13" s="2">
        <v>390</v>
      </c>
      <c r="J13" s="18">
        <v>4</v>
      </c>
      <c r="K13" s="18">
        <v>4</v>
      </c>
      <c r="L13" s="18">
        <v>5</v>
      </c>
      <c r="M13" s="18">
        <v>1</v>
      </c>
      <c r="N13" s="18">
        <v>1</v>
      </c>
      <c r="O13" s="18">
        <v>1</v>
      </c>
      <c r="P13" s="6">
        <v>350</v>
      </c>
      <c r="Q13" s="16">
        <f t="shared" ca="1" si="6"/>
        <v>0.04</v>
      </c>
      <c r="R13" s="16">
        <f t="shared" ca="1" si="7"/>
        <v>0.04</v>
      </c>
      <c r="S13" s="16">
        <f t="shared" ca="1" si="8"/>
        <v>0.05</v>
      </c>
      <c r="T13" s="16">
        <f t="shared" ca="1" si="9"/>
        <v>0</v>
      </c>
      <c r="U13" s="16">
        <f t="shared" ca="1" si="10"/>
        <v>0</v>
      </c>
      <c r="V13" s="16">
        <f t="shared" ca="1" si="11"/>
        <v>0</v>
      </c>
      <c r="W13" s="22"/>
      <c r="X13" s="25">
        <v>388</v>
      </c>
      <c r="Y13" s="26">
        <f t="shared" ca="1" si="12"/>
        <v>4.3333333333333335E-2</v>
      </c>
      <c r="Z13" s="26">
        <f t="shared" ca="1" si="13"/>
        <v>0</v>
      </c>
      <c r="AA13" s="26">
        <v>1.84E-4</v>
      </c>
      <c r="AB13" s="26">
        <v>6.7199999999999994E-5</v>
      </c>
      <c r="AC13" s="26"/>
      <c r="AD13" s="25">
        <v>394</v>
      </c>
      <c r="AE13" s="27">
        <f t="shared" ca="1" si="14"/>
        <v>4.3333333333333335E-2</v>
      </c>
      <c r="AF13" s="27">
        <f t="shared" ca="1" si="15"/>
        <v>0.02</v>
      </c>
      <c r="AG13" s="22"/>
      <c r="AH13" s="6"/>
      <c r="AI13" s="28"/>
      <c r="AJ13" s="28"/>
      <c r="AK13" s="28"/>
      <c r="AL13" s="28"/>
      <c r="AM13" s="28"/>
      <c r="AN13" s="28"/>
    </row>
    <row r="14" spans="1:40" ht="15.75" x14ac:dyDescent="0.25">
      <c r="A14" s="2">
        <v>378</v>
      </c>
      <c r="B14" s="16">
        <f t="shared" ca="1" si="0"/>
        <v>0.04</v>
      </c>
      <c r="C14" s="16">
        <f t="shared" ca="1" si="1"/>
        <v>0.04</v>
      </c>
      <c r="D14" s="16">
        <f t="shared" ca="1" si="2"/>
        <v>0.05</v>
      </c>
      <c r="E14" s="16">
        <f t="shared" ca="1" si="3"/>
        <v>0.01</v>
      </c>
      <c r="F14" s="16">
        <f t="shared" ca="1" si="4"/>
        <v>0.01</v>
      </c>
      <c r="G14" s="16">
        <f t="shared" ca="1" si="5"/>
        <v>0.01</v>
      </c>
      <c r="H14" s="11"/>
      <c r="I14" s="2">
        <v>389</v>
      </c>
      <c r="J14" s="18">
        <v>4</v>
      </c>
      <c r="K14" s="18">
        <v>4</v>
      </c>
      <c r="L14" s="18">
        <v>5</v>
      </c>
      <c r="M14" s="18">
        <v>1</v>
      </c>
      <c r="N14" s="18">
        <v>1</v>
      </c>
      <c r="O14" s="18">
        <v>1</v>
      </c>
      <c r="P14" s="6">
        <v>345</v>
      </c>
      <c r="Q14" s="16">
        <f t="shared" ca="1" si="6"/>
        <v>0.04</v>
      </c>
      <c r="R14" s="16">
        <f t="shared" ca="1" si="7"/>
        <v>0.04</v>
      </c>
      <c r="S14" s="16">
        <f t="shared" ca="1" si="8"/>
        <v>0.05</v>
      </c>
      <c r="T14" s="16">
        <f t="shared" ca="1" si="9"/>
        <v>0.01</v>
      </c>
      <c r="U14" s="16">
        <f t="shared" ca="1" si="10"/>
        <v>0.01</v>
      </c>
      <c r="V14" s="16">
        <f t="shared" ca="1" si="11"/>
        <v>0.01</v>
      </c>
      <c r="W14" s="22"/>
      <c r="X14" s="25">
        <v>386</v>
      </c>
      <c r="Y14" s="26">
        <f t="shared" ca="1" si="12"/>
        <v>4.3333333333333335E-2</v>
      </c>
      <c r="Z14" s="26">
        <f t="shared" ca="1" si="13"/>
        <v>0.01</v>
      </c>
      <c r="AA14" s="26">
        <v>1.9699999999999999E-4</v>
      </c>
      <c r="AB14" s="26">
        <v>6.2600000000000004E-5</v>
      </c>
      <c r="AC14" s="26"/>
      <c r="AD14" s="25">
        <v>393</v>
      </c>
      <c r="AE14" s="27">
        <f t="shared" ca="1" si="14"/>
        <v>4.3333333333333335E-2</v>
      </c>
      <c r="AF14" s="27">
        <f t="shared" ca="1" si="15"/>
        <v>5.000000000000001E-2</v>
      </c>
      <c r="AG14" s="22"/>
      <c r="AH14" s="6"/>
      <c r="AI14" s="28"/>
      <c r="AJ14" s="28"/>
      <c r="AK14" s="28"/>
      <c r="AL14" s="28"/>
      <c r="AM14" s="28"/>
      <c r="AN14" s="28"/>
    </row>
    <row r="15" spans="1:40" ht="15.75" x14ac:dyDescent="0.25">
      <c r="A15" s="2">
        <v>376</v>
      </c>
      <c r="B15" s="16">
        <f t="shared" ca="1" si="0"/>
        <v>0.04</v>
      </c>
      <c r="C15" s="16">
        <f t="shared" ca="1" si="1"/>
        <v>0.04</v>
      </c>
      <c r="D15" s="16">
        <f t="shared" ca="1" si="2"/>
        <v>0.05</v>
      </c>
      <c r="E15" s="16">
        <f t="shared" ca="1" si="3"/>
        <v>0.01</v>
      </c>
      <c r="F15" s="16">
        <f t="shared" ca="1" si="4"/>
        <v>0.01</v>
      </c>
      <c r="G15" s="16">
        <f t="shared" ca="1" si="5"/>
        <v>0.01</v>
      </c>
      <c r="H15" s="11"/>
      <c r="I15" s="2">
        <v>388</v>
      </c>
      <c r="J15" s="18">
        <v>4</v>
      </c>
      <c r="K15" s="18">
        <v>4</v>
      </c>
      <c r="L15" s="18">
        <v>5</v>
      </c>
      <c r="M15" s="18">
        <v>-1</v>
      </c>
      <c r="N15" s="18">
        <v>-4</v>
      </c>
      <c r="O15" s="18">
        <v>-2</v>
      </c>
      <c r="P15" s="6">
        <v>340</v>
      </c>
      <c r="Q15" s="16">
        <f t="shared" ca="1" si="6"/>
        <v>0.04</v>
      </c>
      <c r="R15" s="16">
        <f t="shared" ca="1" si="7"/>
        <v>0.04</v>
      </c>
      <c r="S15" s="16">
        <f t="shared" ca="1" si="8"/>
        <v>0.05</v>
      </c>
      <c r="T15" s="16">
        <f t="shared" ca="1" si="9"/>
        <v>0.01</v>
      </c>
      <c r="U15" s="16">
        <f t="shared" ca="1" si="10"/>
        <v>0.01</v>
      </c>
      <c r="V15" s="16">
        <f t="shared" ca="1" si="11"/>
        <v>0.01</v>
      </c>
      <c r="W15" s="22"/>
      <c r="X15" s="25">
        <v>384</v>
      </c>
      <c r="Y15" s="26">
        <f t="shared" ca="1" si="12"/>
        <v>4.3333333333333335E-2</v>
      </c>
      <c r="Z15" s="26">
        <f t="shared" ca="1" si="13"/>
        <v>0.01</v>
      </c>
      <c r="AA15" s="26">
        <v>2.1100000000000001E-4</v>
      </c>
      <c r="AB15" s="26">
        <v>5.8499999999999999E-5</v>
      </c>
      <c r="AC15" s="26"/>
      <c r="AD15" s="25">
        <v>392</v>
      </c>
      <c r="AE15" s="27">
        <f t="shared" ca="1" si="14"/>
        <v>4.3333333333333335E-2</v>
      </c>
      <c r="AF15" s="27">
        <f t="shared" ca="1" si="15"/>
        <v>0.01</v>
      </c>
      <c r="AG15" s="22"/>
      <c r="AH15" s="6"/>
      <c r="AI15" s="28"/>
      <c r="AJ15" s="28"/>
      <c r="AK15" s="28"/>
      <c r="AL15" s="28"/>
      <c r="AM15" s="28"/>
      <c r="AN15" s="28"/>
    </row>
    <row r="16" spans="1:40" ht="15.75" x14ac:dyDescent="0.25">
      <c r="A16" s="2">
        <v>374</v>
      </c>
      <c r="B16" s="16">
        <f t="shared" ca="1" si="0"/>
        <v>0.04</v>
      </c>
      <c r="C16" s="16">
        <f t="shared" ca="1" si="1"/>
        <v>0.04</v>
      </c>
      <c r="D16" s="16">
        <f t="shared" ca="1" si="2"/>
        <v>0.05</v>
      </c>
      <c r="E16" s="16">
        <f t="shared" ca="1" si="3"/>
        <v>0.01</v>
      </c>
      <c r="F16" s="16">
        <f t="shared" ca="1" si="4"/>
        <v>0.01</v>
      </c>
      <c r="G16" s="16">
        <f t="shared" ca="1" si="5"/>
        <v>0.01</v>
      </c>
      <c r="H16" s="11"/>
      <c r="I16" s="2">
        <v>387</v>
      </c>
      <c r="J16" s="18">
        <v>4</v>
      </c>
      <c r="K16" s="18">
        <v>4</v>
      </c>
      <c r="L16" s="18">
        <v>5</v>
      </c>
      <c r="M16" s="18">
        <v>1</v>
      </c>
      <c r="N16" s="18">
        <v>1</v>
      </c>
      <c r="O16" s="18">
        <v>1</v>
      </c>
      <c r="P16" s="6">
        <v>335</v>
      </c>
      <c r="Q16" s="16">
        <f t="shared" ca="1" si="6"/>
        <v>0.04</v>
      </c>
      <c r="R16" s="16">
        <f t="shared" ca="1" si="7"/>
        <v>0.04</v>
      </c>
      <c r="S16" s="16">
        <f t="shared" ca="1" si="8"/>
        <v>0.05</v>
      </c>
      <c r="T16" s="16">
        <f t="shared" ca="1" si="9"/>
        <v>0.01</v>
      </c>
      <c r="U16" s="16">
        <f t="shared" ca="1" si="10"/>
        <v>0.01</v>
      </c>
      <c r="V16" s="16">
        <f t="shared" ca="1" si="11"/>
        <v>0.01</v>
      </c>
      <c r="W16" s="22"/>
      <c r="X16" s="25">
        <v>382</v>
      </c>
      <c r="Y16" s="26">
        <f t="shared" ca="1" si="12"/>
        <v>4.3333333333333335E-2</v>
      </c>
      <c r="Z16" s="26">
        <f t="shared" ca="1" si="13"/>
        <v>0.01</v>
      </c>
      <c r="AA16" s="26">
        <v>2.2599999999999999E-4</v>
      </c>
      <c r="AB16" s="26">
        <v>6.4200000000000002E-5</v>
      </c>
      <c r="AC16" s="26"/>
      <c r="AD16" s="25">
        <v>391</v>
      </c>
      <c r="AE16" s="27">
        <f t="shared" ca="1" si="14"/>
        <v>4.3333333333333335E-2</v>
      </c>
      <c r="AF16" s="27">
        <f t="shared" ca="1" si="15"/>
        <v>4.3214285714285705E-2</v>
      </c>
      <c r="AG16" s="22"/>
      <c r="AH16" s="6"/>
      <c r="AI16" s="28"/>
      <c r="AJ16" s="28"/>
      <c r="AK16" s="28"/>
      <c r="AL16" s="28"/>
      <c r="AM16" s="28"/>
      <c r="AN16" s="28"/>
    </row>
    <row r="17" spans="1:40" ht="15.75" x14ac:dyDescent="0.25">
      <c r="A17" s="2">
        <v>372</v>
      </c>
      <c r="B17" s="16">
        <f t="shared" ca="1" si="0"/>
        <v>0.04</v>
      </c>
      <c r="C17" s="16">
        <f t="shared" ca="1" si="1"/>
        <v>0.04</v>
      </c>
      <c r="D17" s="16">
        <f t="shared" ca="1" si="2"/>
        <v>0.05</v>
      </c>
      <c r="E17" s="16">
        <f t="shared" ca="1" si="3"/>
        <v>0.01</v>
      </c>
      <c r="F17" s="16">
        <f t="shared" ca="1" si="4"/>
        <v>0.01</v>
      </c>
      <c r="G17" s="16">
        <f t="shared" ca="1" si="5"/>
        <v>0.01</v>
      </c>
      <c r="H17" s="11"/>
      <c r="I17" s="2">
        <v>386</v>
      </c>
      <c r="J17" s="18">
        <v>4</v>
      </c>
      <c r="K17" s="18">
        <v>4</v>
      </c>
      <c r="L17" s="18">
        <v>5</v>
      </c>
      <c r="M17" s="18">
        <v>1</v>
      </c>
      <c r="N17" s="18">
        <v>1</v>
      </c>
      <c r="O17" s="18">
        <v>1</v>
      </c>
      <c r="P17" s="6">
        <v>330</v>
      </c>
      <c r="Q17" s="16">
        <f t="shared" ca="1" si="6"/>
        <v>0.04</v>
      </c>
      <c r="R17" s="16">
        <f t="shared" ca="1" si="7"/>
        <v>0.04</v>
      </c>
      <c r="S17" s="16">
        <f t="shared" ca="1" si="8"/>
        <v>0.05</v>
      </c>
      <c r="T17" s="16">
        <f t="shared" ca="1" si="9"/>
        <v>0.01</v>
      </c>
      <c r="U17" s="16">
        <f t="shared" ca="1" si="10"/>
        <v>0.01</v>
      </c>
      <c r="V17" s="16">
        <f t="shared" ca="1" si="11"/>
        <v>0.01</v>
      </c>
      <c r="W17" s="22"/>
      <c r="X17" s="25">
        <v>380</v>
      </c>
      <c r="Y17" s="26">
        <f t="shared" ca="1" si="12"/>
        <v>4.3333333333333335E-2</v>
      </c>
      <c r="Z17" s="26">
        <f t="shared" ca="1" si="13"/>
        <v>0.01</v>
      </c>
      <c r="AA17" s="26">
        <v>2.43E-4</v>
      </c>
      <c r="AB17" s="26">
        <v>7.5400000000000003E-5</v>
      </c>
      <c r="AC17" s="26"/>
      <c r="AD17" s="25">
        <v>390</v>
      </c>
      <c r="AE17" s="27">
        <f t="shared" ca="1" si="14"/>
        <v>4.3333333333333335E-2</v>
      </c>
      <c r="AF17" s="27">
        <f t="shared" ca="1" si="15"/>
        <v>0.01</v>
      </c>
      <c r="AG17" s="22"/>
      <c r="AH17" s="6"/>
      <c r="AI17" s="28"/>
      <c r="AJ17" s="28"/>
      <c r="AK17" s="28"/>
      <c r="AL17" s="28"/>
      <c r="AM17" s="28"/>
      <c r="AN17" s="28"/>
    </row>
    <row r="18" spans="1:40" ht="15.75" x14ac:dyDescent="0.25">
      <c r="A18" s="2">
        <v>370</v>
      </c>
      <c r="B18" s="16">
        <f t="shared" ca="1" si="0"/>
        <v>0.04</v>
      </c>
      <c r="C18" s="16">
        <f t="shared" ca="1" si="1"/>
        <v>0.04</v>
      </c>
      <c r="D18" s="16">
        <f t="shared" ca="1" si="2"/>
        <v>0.05</v>
      </c>
      <c r="E18" s="16">
        <f t="shared" ca="1" si="3"/>
        <v>0.01</v>
      </c>
      <c r="F18" s="16">
        <f t="shared" ca="1" si="4"/>
        <v>0.01</v>
      </c>
      <c r="G18" s="16">
        <f t="shared" ca="1" si="5"/>
        <v>0.01</v>
      </c>
      <c r="H18" s="11"/>
      <c r="I18" s="2">
        <v>385</v>
      </c>
      <c r="J18" s="18">
        <v>4</v>
      </c>
      <c r="K18" s="18">
        <v>4</v>
      </c>
      <c r="L18" s="18">
        <v>5</v>
      </c>
      <c r="M18" s="18">
        <v>1</v>
      </c>
      <c r="N18" s="18">
        <v>1</v>
      </c>
      <c r="O18" s="18">
        <v>1</v>
      </c>
      <c r="P18" s="6">
        <v>325</v>
      </c>
      <c r="Q18" s="16">
        <f t="shared" ca="1" si="6"/>
        <v>0.04</v>
      </c>
      <c r="R18" s="16">
        <f t="shared" ca="1" si="7"/>
        <v>0.04</v>
      </c>
      <c r="S18" s="16">
        <f t="shared" ca="1" si="8"/>
        <v>0.05</v>
      </c>
      <c r="T18" s="16">
        <f t="shared" ca="1" si="9"/>
        <v>0.01</v>
      </c>
      <c r="U18" s="16">
        <f t="shared" ca="1" si="10"/>
        <v>0.01</v>
      </c>
      <c r="V18" s="16">
        <f t="shared" ca="1" si="11"/>
        <v>0.01</v>
      </c>
      <c r="W18" s="22"/>
      <c r="X18" s="25">
        <v>378</v>
      </c>
      <c r="Y18" s="26">
        <f t="shared" ca="1" si="12"/>
        <v>4.3333333333333335E-2</v>
      </c>
      <c r="Z18" s="26">
        <f t="shared" ca="1" si="13"/>
        <v>0.01</v>
      </c>
      <c r="AA18" s="26">
        <v>2.5999999999999998E-4</v>
      </c>
      <c r="AB18" s="26">
        <v>7.4599999999999997E-5</v>
      </c>
      <c r="AC18" s="26"/>
      <c r="AD18" s="25">
        <v>389</v>
      </c>
      <c r="AE18" s="27">
        <f t="shared" ca="1" si="14"/>
        <v>4.3333333333333335E-2</v>
      </c>
      <c r="AF18" s="27">
        <f t="shared" ca="1" si="15"/>
        <v>0.01</v>
      </c>
      <c r="AG18" s="22"/>
      <c r="AH18" s="6"/>
      <c r="AI18" s="28"/>
      <c r="AJ18" s="28"/>
      <c r="AK18" s="28"/>
      <c r="AL18" s="28"/>
      <c r="AM18" s="28"/>
      <c r="AN18" s="28"/>
    </row>
    <row r="19" spans="1:40" ht="15.75" x14ac:dyDescent="0.25">
      <c r="A19" s="2">
        <v>368</v>
      </c>
      <c r="B19" s="16">
        <f t="shared" ca="1" si="0"/>
        <v>0.05</v>
      </c>
      <c r="C19" s="16">
        <f t="shared" ca="1" si="1"/>
        <v>0.05</v>
      </c>
      <c r="D19" s="16">
        <f t="shared" ca="1" si="2"/>
        <v>0.55000000000000004</v>
      </c>
      <c r="E19" s="16">
        <f t="shared" ca="1" si="3"/>
        <v>0.01</v>
      </c>
      <c r="F19" s="16">
        <f t="shared" ca="1" si="4"/>
        <v>0.01</v>
      </c>
      <c r="G19" s="16">
        <f t="shared" ca="1" si="5"/>
        <v>0.01</v>
      </c>
      <c r="H19" s="11"/>
      <c r="I19" s="2">
        <v>384</v>
      </c>
      <c r="J19" s="18">
        <v>4</v>
      </c>
      <c r="K19" s="18">
        <v>4</v>
      </c>
      <c r="L19" s="18">
        <v>5</v>
      </c>
      <c r="M19" s="18">
        <v>1</v>
      </c>
      <c r="N19" s="18">
        <v>1</v>
      </c>
      <c r="O19" s="18">
        <v>1</v>
      </c>
      <c r="P19" s="6">
        <v>320</v>
      </c>
      <c r="Q19" s="16">
        <f t="shared" ca="1" si="6"/>
        <v>0.04</v>
      </c>
      <c r="R19" s="16">
        <f t="shared" ca="1" si="7"/>
        <v>0.04</v>
      </c>
      <c r="S19" s="16">
        <f t="shared" ca="1" si="8"/>
        <v>0.05</v>
      </c>
      <c r="T19" s="16">
        <f t="shared" ca="1" si="9"/>
        <v>0.01</v>
      </c>
      <c r="U19" s="16">
        <f t="shared" ca="1" si="10"/>
        <v>0.01</v>
      </c>
      <c r="V19" s="16">
        <f t="shared" ca="1" si="11"/>
        <v>0.01</v>
      </c>
      <c r="W19" s="22"/>
      <c r="X19" s="25">
        <v>376</v>
      </c>
      <c r="Y19" s="26">
        <f t="shared" ca="1" si="12"/>
        <v>4.3333333333333335E-2</v>
      </c>
      <c r="Z19" s="26">
        <f t="shared" ca="1" si="13"/>
        <v>0.01</v>
      </c>
      <c r="AA19" s="26">
        <v>2.7900000000000001E-4</v>
      </c>
      <c r="AB19" s="26">
        <v>6.6600000000000006E-5</v>
      </c>
      <c r="AC19" s="26"/>
      <c r="AD19" s="25">
        <v>388</v>
      </c>
      <c r="AE19" s="27">
        <f t="shared" ca="1" si="14"/>
        <v>4.3333333333333335E-2</v>
      </c>
      <c r="AF19" s="27">
        <f t="shared" ca="1" si="15"/>
        <v>0</v>
      </c>
      <c r="AG19" s="22"/>
      <c r="AH19" s="6"/>
      <c r="AI19" s="28"/>
      <c r="AJ19" s="28"/>
      <c r="AK19" s="28"/>
      <c r="AL19" s="28"/>
      <c r="AM19" s="28"/>
      <c r="AN19" s="28"/>
    </row>
    <row r="20" spans="1:40" ht="15.75" x14ac:dyDescent="0.25">
      <c r="A20" s="2">
        <v>366</v>
      </c>
      <c r="B20" s="16">
        <f t="shared" ca="1" si="0"/>
        <v>0.04</v>
      </c>
      <c r="C20" s="16">
        <f t="shared" ca="1" si="1"/>
        <v>0.04</v>
      </c>
      <c r="D20" s="16">
        <f t="shared" ca="1" si="2"/>
        <v>0.05</v>
      </c>
      <c r="E20" s="16">
        <f t="shared" ca="1" si="3"/>
        <v>0.01</v>
      </c>
      <c r="F20" s="16">
        <f t="shared" ca="1" si="4"/>
        <v>0.01</v>
      </c>
      <c r="G20" s="16">
        <f t="shared" ca="1" si="5"/>
        <v>0.01</v>
      </c>
      <c r="H20" s="11"/>
      <c r="I20" s="2">
        <v>383</v>
      </c>
      <c r="J20" s="18">
        <v>4</v>
      </c>
      <c r="K20" s="18">
        <v>4</v>
      </c>
      <c r="L20" s="18">
        <v>5</v>
      </c>
      <c r="M20" s="18">
        <v>1</v>
      </c>
      <c r="N20" s="18">
        <v>1</v>
      </c>
      <c r="O20" s="18">
        <v>1</v>
      </c>
      <c r="P20" s="6">
        <v>315</v>
      </c>
      <c r="Q20" s="16">
        <f t="shared" ca="1" si="6"/>
        <v>0.04</v>
      </c>
      <c r="R20" s="16">
        <f t="shared" ca="1" si="7"/>
        <v>0.04</v>
      </c>
      <c r="S20" s="16">
        <f t="shared" ca="1" si="8"/>
        <v>0.05</v>
      </c>
      <c r="T20" s="16">
        <f t="shared" ca="1" si="9"/>
        <v>0.01</v>
      </c>
      <c r="U20" s="16">
        <f t="shared" ca="1" si="10"/>
        <v>0.01</v>
      </c>
      <c r="V20" s="16">
        <f t="shared" ca="1" si="11"/>
        <v>0.01</v>
      </c>
      <c r="W20" s="22"/>
      <c r="X20" s="25">
        <v>374</v>
      </c>
      <c r="Y20" s="26">
        <f t="shared" ca="1" si="12"/>
        <v>4.3333333333333335E-2</v>
      </c>
      <c r="Z20" s="26">
        <f t="shared" ca="1" si="13"/>
        <v>0.01</v>
      </c>
      <c r="AA20" s="26">
        <v>2.99E-4</v>
      </c>
      <c r="AB20" s="26">
        <v>6.6099999999999994E-5</v>
      </c>
      <c r="AC20" s="26"/>
      <c r="AD20" s="25">
        <v>387</v>
      </c>
      <c r="AE20" s="27">
        <f t="shared" ca="1" si="14"/>
        <v>4.3333333333333335E-2</v>
      </c>
      <c r="AF20" s="27">
        <f t="shared" ca="1" si="15"/>
        <v>0.01</v>
      </c>
      <c r="AG20" s="22"/>
      <c r="AH20" s="6"/>
      <c r="AI20" s="28"/>
      <c r="AJ20" s="28"/>
      <c r="AK20" s="28"/>
      <c r="AL20" s="28"/>
      <c r="AM20" s="28"/>
      <c r="AN20" s="28"/>
    </row>
    <row r="21" spans="1:40" ht="15.75" x14ac:dyDescent="0.25">
      <c r="A21" s="2">
        <v>364</v>
      </c>
      <c r="B21" s="16">
        <f t="shared" ca="1" si="0"/>
        <v>0.04</v>
      </c>
      <c r="C21" s="16">
        <f t="shared" ca="1" si="1"/>
        <v>0.04</v>
      </c>
      <c r="D21" s="16">
        <f t="shared" ca="1" si="2"/>
        <v>0.05</v>
      </c>
      <c r="E21" s="16">
        <f t="shared" ca="1" si="3"/>
        <v>0.01</v>
      </c>
      <c r="F21" s="16">
        <f t="shared" ca="1" si="4"/>
        <v>0.01</v>
      </c>
      <c r="G21" s="16">
        <f t="shared" ca="1" si="5"/>
        <v>0.01</v>
      </c>
      <c r="H21" s="11"/>
      <c r="I21" s="2">
        <v>382</v>
      </c>
      <c r="J21" s="18">
        <v>4</v>
      </c>
      <c r="K21" s="18">
        <v>4</v>
      </c>
      <c r="L21" s="18">
        <v>5</v>
      </c>
      <c r="M21" s="18">
        <v>1</v>
      </c>
      <c r="N21" s="18">
        <v>1</v>
      </c>
      <c r="O21" s="18">
        <v>1</v>
      </c>
      <c r="P21" s="22">
        <f>+I93</f>
        <v>310</v>
      </c>
      <c r="Q21" s="16">
        <f t="shared" ca="1" si="6"/>
        <v>0.04</v>
      </c>
      <c r="R21" s="16">
        <f t="shared" ca="1" si="7"/>
        <v>0.04</v>
      </c>
      <c r="S21" s="16">
        <f t="shared" ca="1" si="8"/>
        <v>0.05</v>
      </c>
      <c r="T21" s="16">
        <f t="shared" ca="1" si="9"/>
        <v>0.01</v>
      </c>
      <c r="U21" s="16">
        <f t="shared" ca="1" si="10"/>
        <v>0.01</v>
      </c>
      <c r="V21" s="16">
        <f t="shared" ca="1" si="11"/>
        <v>0.01</v>
      </c>
      <c r="W21" s="22"/>
      <c r="X21" s="25">
        <v>372</v>
      </c>
      <c r="Y21" s="26">
        <f t="shared" ca="1" si="12"/>
        <v>4.3333333333333335E-2</v>
      </c>
      <c r="Z21" s="26">
        <f t="shared" ca="1" si="13"/>
        <v>0.01</v>
      </c>
      <c r="AA21" s="26">
        <v>3.2000000000000003E-4</v>
      </c>
      <c r="AB21" s="26">
        <v>7.4999999999999993E-5</v>
      </c>
      <c r="AC21" s="26"/>
      <c r="AD21" s="25">
        <v>386</v>
      </c>
      <c r="AE21" s="27">
        <f t="shared" ca="1" si="14"/>
        <v>4.3333333333333335E-2</v>
      </c>
      <c r="AF21" s="27">
        <f t="shared" ca="1" si="15"/>
        <v>0.01</v>
      </c>
      <c r="AG21" s="22"/>
      <c r="AH21" s="6"/>
      <c r="AI21" s="28"/>
      <c r="AJ21" s="28"/>
      <c r="AK21" s="28"/>
      <c r="AL21" s="28"/>
      <c r="AM21" s="28"/>
      <c r="AN21" s="28"/>
    </row>
    <row r="22" spans="1:40" ht="15.75" x14ac:dyDescent="0.25">
      <c r="A22" s="2">
        <v>362</v>
      </c>
      <c r="B22" s="16">
        <f t="shared" ca="1" si="0"/>
        <v>0.04</v>
      </c>
      <c r="C22" s="16">
        <f t="shared" ca="1" si="1"/>
        <v>0.04</v>
      </c>
      <c r="D22" s="16">
        <f t="shared" ca="1" si="2"/>
        <v>0.05</v>
      </c>
      <c r="E22" s="16">
        <f t="shared" ca="1" si="3"/>
        <v>0.01</v>
      </c>
      <c r="F22" s="16">
        <f t="shared" ca="1" si="4"/>
        <v>0.01</v>
      </c>
      <c r="G22" s="16">
        <f t="shared" ca="1" si="5"/>
        <v>0.01</v>
      </c>
      <c r="H22" s="11"/>
      <c r="I22" s="2">
        <v>381</v>
      </c>
      <c r="J22" s="18">
        <v>4</v>
      </c>
      <c r="K22" s="18">
        <v>4</v>
      </c>
      <c r="L22" s="18">
        <v>5</v>
      </c>
      <c r="M22" s="18">
        <v>1</v>
      </c>
      <c r="N22" s="18">
        <v>1</v>
      </c>
      <c r="O22" s="18">
        <v>1</v>
      </c>
      <c r="P22" s="22">
        <f>+I98</f>
        <v>305</v>
      </c>
      <c r="Q22" s="16">
        <f t="shared" ca="1" si="6"/>
        <v>0.04</v>
      </c>
      <c r="R22" s="16">
        <f t="shared" ca="1" si="7"/>
        <v>0.04</v>
      </c>
      <c r="S22" s="16">
        <f t="shared" ca="1" si="8"/>
        <v>0.05</v>
      </c>
      <c r="T22" s="16">
        <f t="shared" ca="1" si="9"/>
        <v>0.01</v>
      </c>
      <c r="U22" s="16">
        <f t="shared" ca="1" si="10"/>
        <v>0.01</v>
      </c>
      <c r="V22" s="16">
        <f t="shared" ca="1" si="11"/>
        <v>0.01</v>
      </c>
      <c r="W22" s="22"/>
      <c r="X22" s="25">
        <v>370</v>
      </c>
      <c r="Y22" s="26">
        <f t="shared" ca="1" si="12"/>
        <v>4.3333333333333335E-2</v>
      </c>
      <c r="Z22" s="26">
        <f t="shared" ca="1" si="13"/>
        <v>0.01</v>
      </c>
      <c r="AA22" s="26">
        <v>3.4299999999999999E-4</v>
      </c>
      <c r="AB22" s="26">
        <v>7.6600000000000005E-5</v>
      </c>
      <c r="AC22" s="26"/>
      <c r="AD22" s="25">
        <v>385</v>
      </c>
      <c r="AE22" s="27">
        <f t="shared" ca="1" si="14"/>
        <v>4.3333333333333335E-2</v>
      </c>
      <c r="AF22" s="27">
        <f t="shared" ca="1" si="15"/>
        <v>0.01</v>
      </c>
      <c r="AG22" s="22"/>
      <c r="AH22" s="6"/>
      <c r="AI22" s="28"/>
      <c r="AJ22" s="28"/>
      <c r="AK22" s="28"/>
      <c r="AL22" s="28"/>
      <c r="AM22" s="28"/>
      <c r="AN22" s="28"/>
    </row>
    <row r="23" spans="1:40" ht="15.75" x14ac:dyDescent="0.25">
      <c r="A23" s="2">
        <v>360</v>
      </c>
      <c r="B23" s="16">
        <f t="shared" ca="1" si="0"/>
        <v>0.04</v>
      </c>
      <c r="C23" s="16">
        <f t="shared" ca="1" si="1"/>
        <v>0.04</v>
      </c>
      <c r="D23" s="16">
        <f t="shared" ca="1" si="2"/>
        <v>0.05</v>
      </c>
      <c r="E23" s="16">
        <f t="shared" ca="1" si="3"/>
        <v>0.01</v>
      </c>
      <c r="F23" s="16">
        <f t="shared" ca="1" si="4"/>
        <v>0.01</v>
      </c>
      <c r="G23" s="16">
        <f t="shared" ca="1" si="5"/>
        <v>0.01</v>
      </c>
      <c r="H23" s="11"/>
      <c r="I23" s="2">
        <v>380</v>
      </c>
      <c r="J23" s="18">
        <v>4</v>
      </c>
      <c r="K23" s="18">
        <v>4</v>
      </c>
      <c r="L23" s="18">
        <v>5</v>
      </c>
      <c r="M23" s="18">
        <v>1</v>
      </c>
      <c r="N23" s="18">
        <v>1</v>
      </c>
      <c r="O23" s="18">
        <v>1</v>
      </c>
      <c r="P23" s="22">
        <f>+I103</f>
        <v>300</v>
      </c>
      <c r="Q23" s="16">
        <f t="shared" ca="1" si="6"/>
        <v>0.04</v>
      </c>
      <c r="R23" s="16">
        <f t="shared" ca="1" si="7"/>
        <v>0.04</v>
      </c>
      <c r="S23" s="16">
        <f t="shared" ca="1" si="8"/>
        <v>0.05</v>
      </c>
      <c r="T23" s="16">
        <f t="shared" ca="1" si="9"/>
        <v>0.01</v>
      </c>
      <c r="U23" s="16">
        <f t="shared" ca="1" si="10"/>
        <v>0.01</v>
      </c>
      <c r="V23" s="16">
        <f t="shared" ca="1" si="11"/>
        <v>0.01</v>
      </c>
      <c r="W23" s="22"/>
      <c r="X23" s="25">
        <v>368</v>
      </c>
      <c r="Y23" s="26">
        <f t="shared" ca="1" si="12"/>
        <v>0.21666666666666667</v>
      </c>
      <c r="Z23" s="26">
        <f t="shared" ca="1" si="13"/>
        <v>0.01</v>
      </c>
      <c r="AA23" s="26">
        <v>3.6699999999999998E-4</v>
      </c>
      <c r="AB23" s="26">
        <v>7.6199999999999995E-5</v>
      </c>
      <c r="AC23" s="26"/>
      <c r="AD23" s="25">
        <v>384</v>
      </c>
      <c r="AE23" s="27">
        <f t="shared" ca="1" si="14"/>
        <v>4.3333333333333335E-2</v>
      </c>
      <c r="AF23" s="27">
        <f t="shared" ca="1" si="15"/>
        <v>0.01</v>
      </c>
      <c r="AG23" s="22"/>
      <c r="AH23" s="6"/>
      <c r="AI23" s="28"/>
      <c r="AJ23" s="28"/>
      <c r="AK23" s="28"/>
      <c r="AL23" s="28"/>
      <c r="AM23" s="28"/>
      <c r="AN23" s="28"/>
    </row>
    <row r="24" spans="1:40" ht="15.75" x14ac:dyDescent="0.25">
      <c r="A24" s="2">
        <v>358</v>
      </c>
      <c r="B24" s="16">
        <f t="shared" ca="1" si="0"/>
        <v>0.04</v>
      </c>
      <c r="C24" s="16">
        <f t="shared" ca="1" si="1"/>
        <v>0.04</v>
      </c>
      <c r="D24" s="16">
        <f t="shared" ca="1" si="2"/>
        <v>0.05</v>
      </c>
      <c r="E24" s="16">
        <f t="shared" ca="1" si="3"/>
        <v>0.01</v>
      </c>
      <c r="F24" s="16">
        <f t="shared" ca="1" si="4"/>
        <v>0.01</v>
      </c>
      <c r="G24" s="16">
        <f t="shared" ca="1" si="5"/>
        <v>0.01</v>
      </c>
      <c r="H24" s="11"/>
      <c r="I24" s="2">
        <v>379</v>
      </c>
      <c r="J24" s="18">
        <v>4</v>
      </c>
      <c r="K24" s="18">
        <v>4</v>
      </c>
      <c r="L24" s="18">
        <v>5</v>
      </c>
      <c r="M24" s="18">
        <v>1</v>
      </c>
      <c r="N24" s="18">
        <v>1</v>
      </c>
      <c r="O24" s="18">
        <v>1</v>
      </c>
      <c r="P24" s="22">
        <f>+I108</f>
        <v>295</v>
      </c>
      <c r="Q24" s="16">
        <f t="shared" ca="1" si="6"/>
        <v>0.04</v>
      </c>
      <c r="R24" s="16">
        <f t="shared" ca="1" si="7"/>
        <v>0.04</v>
      </c>
      <c r="S24" s="16">
        <f t="shared" ca="1" si="8"/>
        <v>0.05</v>
      </c>
      <c r="T24" s="16">
        <f t="shared" ca="1" si="9"/>
        <v>0.01</v>
      </c>
      <c r="U24" s="16">
        <f t="shared" ca="1" si="10"/>
        <v>0.01</v>
      </c>
      <c r="V24" s="16">
        <f t="shared" ca="1" si="11"/>
        <v>0.01</v>
      </c>
      <c r="W24" s="22"/>
      <c r="X24" s="25">
        <v>366</v>
      </c>
      <c r="Y24" s="26">
        <f t="shared" ca="1" si="12"/>
        <v>4.3333333333333335E-2</v>
      </c>
      <c r="Z24" s="26">
        <f t="shared" ca="1" si="13"/>
        <v>0.01</v>
      </c>
      <c r="AA24" s="26">
        <v>3.9399999999999998E-4</v>
      </c>
      <c r="AB24" s="26">
        <v>7.1799999999999997E-5</v>
      </c>
      <c r="AC24" s="26"/>
      <c r="AD24" s="25">
        <v>383</v>
      </c>
      <c r="AE24" s="27">
        <f t="shared" ca="1" si="14"/>
        <v>4.3333333333333335E-2</v>
      </c>
      <c r="AF24" s="27">
        <f t="shared" ca="1" si="15"/>
        <v>0.01</v>
      </c>
      <c r="AG24" s="22"/>
      <c r="AH24" s="6"/>
      <c r="AI24" s="28"/>
      <c r="AJ24" s="28"/>
      <c r="AK24" s="28"/>
      <c r="AL24" s="28"/>
      <c r="AM24" s="28"/>
      <c r="AN24" s="28"/>
    </row>
    <row r="25" spans="1:40" ht="15.75" x14ac:dyDescent="0.25">
      <c r="A25" s="2">
        <v>356</v>
      </c>
      <c r="B25" s="16">
        <f t="shared" ca="1" si="0"/>
        <v>0.04</v>
      </c>
      <c r="C25" s="16">
        <f t="shared" ca="1" si="1"/>
        <v>0.04</v>
      </c>
      <c r="D25" s="16">
        <f t="shared" ca="1" si="2"/>
        <v>0.05</v>
      </c>
      <c r="E25" s="16">
        <f t="shared" ca="1" si="3"/>
        <v>0.01</v>
      </c>
      <c r="F25" s="16">
        <f t="shared" ca="1" si="4"/>
        <v>0.01</v>
      </c>
      <c r="G25" s="16">
        <f t="shared" ca="1" si="5"/>
        <v>0.01</v>
      </c>
      <c r="H25" s="11"/>
      <c r="I25" s="2">
        <v>378</v>
      </c>
      <c r="J25" s="18">
        <v>4</v>
      </c>
      <c r="K25" s="18">
        <v>4</v>
      </c>
      <c r="L25" s="18">
        <v>5</v>
      </c>
      <c r="M25" s="18">
        <v>1</v>
      </c>
      <c r="N25" s="18">
        <v>1</v>
      </c>
      <c r="O25" s="18">
        <v>1</v>
      </c>
      <c r="P25" s="22">
        <f>+I113</f>
        <v>290</v>
      </c>
      <c r="Q25" s="16">
        <f t="shared" ca="1" si="6"/>
        <v>0.04</v>
      </c>
      <c r="R25" s="16">
        <f t="shared" ca="1" si="7"/>
        <v>0.04</v>
      </c>
      <c r="S25" s="16">
        <f t="shared" ca="1" si="8"/>
        <v>0.05</v>
      </c>
      <c r="T25" s="16">
        <f t="shared" ca="1" si="9"/>
        <v>0.01</v>
      </c>
      <c r="U25" s="16">
        <f t="shared" ca="1" si="10"/>
        <v>0.01</v>
      </c>
      <c r="V25" s="16">
        <f t="shared" ca="1" si="11"/>
        <v>0.01</v>
      </c>
      <c r="W25" s="22"/>
      <c r="X25" s="25">
        <v>364</v>
      </c>
      <c r="Y25" s="26">
        <f t="shared" ca="1" si="12"/>
        <v>4.3333333333333335E-2</v>
      </c>
      <c r="Z25" s="26">
        <f t="shared" ca="1" si="13"/>
        <v>0.01</v>
      </c>
      <c r="AA25" s="26">
        <v>4.2200000000000001E-4</v>
      </c>
      <c r="AB25" s="26">
        <v>6.4800000000000003E-5</v>
      </c>
      <c r="AC25" s="26"/>
      <c r="AD25" s="25">
        <v>382</v>
      </c>
      <c r="AE25" s="27">
        <f t="shared" ca="1" si="14"/>
        <v>4.3333333333333335E-2</v>
      </c>
      <c r="AF25" s="27">
        <f t="shared" ca="1" si="15"/>
        <v>0.01</v>
      </c>
      <c r="AG25" s="22"/>
      <c r="AH25" s="6"/>
      <c r="AI25" s="28"/>
      <c r="AJ25" s="28"/>
      <c r="AK25" s="28"/>
      <c r="AL25" s="28"/>
      <c r="AM25" s="28"/>
      <c r="AN25" s="28"/>
    </row>
    <row r="26" spans="1:40" ht="15.75" x14ac:dyDescent="0.25">
      <c r="A26" s="2">
        <v>354</v>
      </c>
      <c r="B26" s="16">
        <f t="shared" ca="1" si="0"/>
        <v>0.04</v>
      </c>
      <c r="C26" s="16">
        <f t="shared" ca="1" si="1"/>
        <v>0.04</v>
      </c>
      <c r="D26" s="16">
        <f t="shared" ca="1" si="2"/>
        <v>0.05</v>
      </c>
      <c r="E26" s="16">
        <f t="shared" ca="1" si="3"/>
        <v>0.01</v>
      </c>
      <c r="F26" s="16">
        <f t="shared" ca="1" si="4"/>
        <v>0.01</v>
      </c>
      <c r="G26" s="16">
        <f t="shared" ca="1" si="5"/>
        <v>0.01</v>
      </c>
      <c r="H26" s="11"/>
      <c r="I26" s="2">
        <v>377</v>
      </c>
      <c r="J26" s="18">
        <v>4</v>
      </c>
      <c r="K26" s="18">
        <v>4</v>
      </c>
      <c r="L26" s="18">
        <v>5</v>
      </c>
      <c r="M26" s="18">
        <v>1</v>
      </c>
      <c r="N26" s="18">
        <v>1</v>
      </c>
      <c r="O26" s="18">
        <v>1</v>
      </c>
      <c r="P26" s="22">
        <f>+I118</f>
        <v>285</v>
      </c>
      <c r="Q26" s="16">
        <f t="shared" ca="1" si="6"/>
        <v>0.04</v>
      </c>
      <c r="R26" s="16">
        <f t="shared" ca="1" si="7"/>
        <v>0.04</v>
      </c>
      <c r="S26" s="16">
        <f t="shared" ca="1" si="8"/>
        <v>0.05</v>
      </c>
      <c r="T26" s="16">
        <f t="shared" ca="1" si="9"/>
        <v>0.01</v>
      </c>
      <c r="U26" s="16">
        <f t="shared" ca="1" si="10"/>
        <v>0.01</v>
      </c>
      <c r="V26" s="16">
        <f t="shared" ca="1" si="11"/>
        <v>0.01</v>
      </c>
      <c r="W26" s="22"/>
      <c r="X26" s="25">
        <v>362</v>
      </c>
      <c r="Y26" s="26">
        <f t="shared" ca="1" si="12"/>
        <v>4.3333333333333335E-2</v>
      </c>
      <c r="Z26" s="26">
        <f t="shared" ca="1" si="13"/>
        <v>0.01</v>
      </c>
      <c r="AA26" s="26">
        <v>4.5199999999999998E-4</v>
      </c>
      <c r="AB26" s="26">
        <v>6.0000000000000002E-5</v>
      </c>
      <c r="AC26" s="26"/>
      <c r="AD26" s="25">
        <v>381</v>
      </c>
      <c r="AE26" s="27">
        <f t="shared" ca="1" si="14"/>
        <v>4.3333333333333335E-2</v>
      </c>
      <c r="AF26" s="27">
        <f t="shared" ca="1" si="15"/>
        <v>0.01</v>
      </c>
      <c r="AG26" s="22"/>
      <c r="AH26" s="6"/>
      <c r="AI26" s="28"/>
      <c r="AJ26" s="28"/>
      <c r="AK26" s="28"/>
      <c r="AL26" s="28"/>
      <c r="AM26" s="28"/>
      <c r="AN26" s="28"/>
    </row>
    <row r="27" spans="1:40" ht="15.75" x14ac:dyDescent="0.25">
      <c r="A27" s="2">
        <v>352</v>
      </c>
      <c r="B27" s="16">
        <f t="shared" ca="1" si="0"/>
        <v>0.04</v>
      </c>
      <c r="C27" s="16">
        <f t="shared" ca="1" si="1"/>
        <v>0.04</v>
      </c>
      <c r="D27" s="16">
        <f t="shared" ca="1" si="2"/>
        <v>0.05</v>
      </c>
      <c r="E27" s="16">
        <f t="shared" ca="1" si="3"/>
        <v>0.01</v>
      </c>
      <c r="F27" s="16">
        <f t="shared" ca="1" si="4"/>
        <v>0.01</v>
      </c>
      <c r="G27" s="16">
        <f t="shared" ca="1" si="5"/>
        <v>0.01</v>
      </c>
      <c r="H27" s="11"/>
      <c r="I27" s="2">
        <v>376</v>
      </c>
      <c r="J27" s="18">
        <v>4</v>
      </c>
      <c r="K27" s="18">
        <v>4</v>
      </c>
      <c r="L27" s="18">
        <v>5</v>
      </c>
      <c r="M27" s="18">
        <v>1</v>
      </c>
      <c r="N27" s="18">
        <v>1</v>
      </c>
      <c r="O27" s="18">
        <v>1</v>
      </c>
      <c r="P27" s="22">
        <f>+I123</f>
        <v>280</v>
      </c>
      <c r="Q27" s="16">
        <f t="shared" ca="1" si="6"/>
        <v>0.04</v>
      </c>
      <c r="R27" s="16">
        <f t="shared" ca="1" si="7"/>
        <v>0.04</v>
      </c>
      <c r="S27" s="16">
        <f t="shared" ca="1" si="8"/>
        <v>0.05</v>
      </c>
      <c r="T27" s="16">
        <f t="shared" ca="1" si="9"/>
        <v>2.3E-2</v>
      </c>
      <c r="U27" s="16">
        <f t="shared" ca="1" si="10"/>
        <v>2.4E-2</v>
      </c>
      <c r="V27" s="16">
        <f t="shared" ca="1" si="11"/>
        <v>2.5000000000000001E-2</v>
      </c>
      <c r="W27" s="22"/>
      <c r="X27" s="25">
        <v>360</v>
      </c>
      <c r="Y27" s="26">
        <f t="shared" ca="1" si="12"/>
        <v>4.3333333333333335E-2</v>
      </c>
      <c r="Z27" s="26">
        <f t="shared" ca="1" si="13"/>
        <v>0.01</v>
      </c>
      <c r="AA27" s="26">
        <v>4.84E-4</v>
      </c>
      <c r="AB27" s="26">
        <v>5.6400000000000002E-5</v>
      </c>
      <c r="AC27" s="26"/>
      <c r="AD27" s="25">
        <v>380</v>
      </c>
      <c r="AE27" s="27">
        <f t="shared" ca="1" si="14"/>
        <v>4.3333333333333335E-2</v>
      </c>
      <c r="AF27" s="27">
        <f t="shared" ca="1" si="15"/>
        <v>0.01</v>
      </c>
      <c r="AG27" s="22"/>
      <c r="AH27" s="6"/>
      <c r="AI27" s="28"/>
      <c r="AJ27" s="28"/>
      <c r="AK27" s="28"/>
      <c r="AL27" s="28"/>
      <c r="AM27" s="28"/>
      <c r="AN27" s="28"/>
    </row>
    <row r="28" spans="1:40" ht="15.75" x14ac:dyDescent="0.25">
      <c r="A28" s="2">
        <v>350</v>
      </c>
      <c r="B28" s="16">
        <f t="shared" ca="1" si="0"/>
        <v>0.04</v>
      </c>
      <c r="C28" s="16">
        <f t="shared" ca="1" si="1"/>
        <v>0.04</v>
      </c>
      <c r="D28" s="16">
        <f t="shared" ca="1" si="2"/>
        <v>0.05</v>
      </c>
      <c r="E28" s="16">
        <f t="shared" ca="1" si="3"/>
        <v>0</v>
      </c>
      <c r="F28" s="16">
        <f t="shared" ca="1" si="4"/>
        <v>0</v>
      </c>
      <c r="G28" s="16">
        <f t="shared" ca="1" si="5"/>
        <v>0</v>
      </c>
      <c r="H28" s="11"/>
      <c r="I28" s="2">
        <v>375</v>
      </c>
      <c r="J28" s="18">
        <v>4</v>
      </c>
      <c r="K28" s="18">
        <v>4</v>
      </c>
      <c r="L28" s="18">
        <v>5</v>
      </c>
      <c r="M28" s="18">
        <v>1</v>
      </c>
      <c r="N28" s="18">
        <v>1</v>
      </c>
      <c r="O28" s="18">
        <v>1</v>
      </c>
      <c r="P28" s="22"/>
      <c r="Q28" s="22"/>
      <c r="R28" s="22"/>
      <c r="S28" s="22"/>
      <c r="T28" s="22"/>
      <c r="U28" s="22"/>
      <c r="V28" s="22"/>
      <c r="W28" s="22"/>
      <c r="X28" s="25">
        <v>358</v>
      </c>
      <c r="Y28" s="26">
        <f t="shared" ca="1" si="12"/>
        <v>4.3333333333333335E-2</v>
      </c>
      <c r="Z28" s="26">
        <f t="shared" ca="1" si="13"/>
        <v>0.01</v>
      </c>
      <c r="AA28" s="26">
        <v>5.1900000000000004E-4</v>
      </c>
      <c r="AB28" s="26">
        <v>5.38E-5</v>
      </c>
      <c r="AC28" s="26"/>
      <c r="AD28" s="25">
        <v>379</v>
      </c>
      <c r="AE28" s="27">
        <f t="shared" ca="1" si="14"/>
        <v>4.3333333333333335E-2</v>
      </c>
      <c r="AF28" s="27">
        <f t="shared" ca="1" si="15"/>
        <v>0.01</v>
      </c>
      <c r="AG28" s="22"/>
      <c r="AH28" s="6"/>
      <c r="AI28" s="28"/>
      <c r="AJ28" s="28"/>
      <c r="AK28" s="28"/>
      <c r="AL28" s="28"/>
      <c r="AM28" s="28"/>
      <c r="AN28" s="28"/>
    </row>
    <row r="29" spans="1:40" ht="15.75" x14ac:dyDescent="0.25">
      <c r="A29" s="2">
        <v>348</v>
      </c>
      <c r="B29" s="16">
        <f t="shared" ca="1" si="0"/>
        <v>0.04</v>
      </c>
      <c r="C29" s="16">
        <f t="shared" ca="1" si="1"/>
        <v>0.04</v>
      </c>
      <c r="D29" s="16">
        <f t="shared" ca="1" si="2"/>
        <v>0.05</v>
      </c>
      <c r="E29" s="16">
        <f t="shared" ca="1" si="3"/>
        <v>0.01</v>
      </c>
      <c r="F29" s="16">
        <f t="shared" ca="1" si="4"/>
        <v>0.01</v>
      </c>
      <c r="G29" s="16">
        <f t="shared" ca="1" si="5"/>
        <v>0.01</v>
      </c>
      <c r="H29" s="11"/>
      <c r="I29" s="2">
        <v>374</v>
      </c>
      <c r="J29" s="18">
        <v>4</v>
      </c>
      <c r="K29" s="18">
        <v>4</v>
      </c>
      <c r="L29" s="18">
        <v>5</v>
      </c>
      <c r="M29" s="18">
        <v>1</v>
      </c>
      <c r="N29" s="18">
        <v>1</v>
      </c>
      <c r="O29" s="18">
        <v>1</v>
      </c>
      <c r="P29" s="22"/>
      <c r="Q29" s="22"/>
      <c r="R29" s="22"/>
      <c r="S29" s="22"/>
      <c r="T29" s="22"/>
      <c r="U29" s="22"/>
      <c r="V29" s="22"/>
      <c r="W29" s="22"/>
      <c r="X29" s="25">
        <v>356</v>
      </c>
      <c r="Y29" s="26">
        <f t="shared" ca="1" si="12"/>
        <v>4.3333333333333335E-2</v>
      </c>
      <c r="Z29" s="26">
        <f t="shared" ca="1" si="13"/>
        <v>0.01</v>
      </c>
      <c r="AA29" s="26">
        <v>5.5599999999999996E-4</v>
      </c>
      <c r="AB29" s="26">
        <v>6.0600000000000003E-5</v>
      </c>
      <c r="AC29" s="26"/>
      <c r="AD29" s="25">
        <v>378</v>
      </c>
      <c r="AE29" s="27">
        <f t="shared" ca="1" si="14"/>
        <v>4.3333333333333335E-2</v>
      </c>
      <c r="AF29" s="27">
        <f t="shared" ca="1" si="15"/>
        <v>0.01</v>
      </c>
      <c r="AG29" s="22"/>
      <c r="AH29" s="6"/>
      <c r="AI29" s="28"/>
      <c r="AJ29" s="28"/>
      <c r="AK29" s="28"/>
      <c r="AL29" s="28"/>
      <c r="AM29" s="28"/>
      <c r="AN29" s="28"/>
    </row>
    <row r="30" spans="1:40" ht="15.75" x14ac:dyDescent="0.25">
      <c r="A30" s="2">
        <v>346</v>
      </c>
      <c r="B30" s="16">
        <f t="shared" ca="1" si="0"/>
        <v>0.04</v>
      </c>
      <c r="C30" s="16">
        <f t="shared" ca="1" si="1"/>
        <v>0.04</v>
      </c>
      <c r="D30" s="16">
        <f t="shared" ca="1" si="2"/>
        <v>0.05</v>
      </c>
      <c r="E30" s="16">
        <f t="shared" ca="1" si="3"/>
        <v>0.01</v>
      </c>
      <c r="F30" s="16">
        <f t="shared" ca="1" si="4"/>
        <v>0.01</v>
      </c>
      <c r="G30" s="16">
        <f t="shared" ca="1" si="5"/>
        <v>0.01</v>
      </c>
      <c r="H30" s="11"/>
      <c r="I30" s="2">
        <v>373</v>
      </c>
      <c r="J30" s="18">
        <v>4</v>
      </c>
      <c r="K30" s="18">
        <v>4</v>
      </c>
      <c r="L30" s="18">
        <v>5</v>
      </c>
      <c r="M30" s="18">
        <v>1</v>
      </c>
      <c r="N30" s="18">
        <v>1</v>
      </c>
      <c r="O30" s="18">
        <v>1</v>
      </c>
      <c r="P30" s="22">
        <v>400</v>
      </c>
      <c r="Q30" s="22">
        <f ca="1">IF(INDIRECT("J"&amp;ROW(Q30)-27)/100&gt;0,INDIRECT("J"&amp;ROW(Q30)-27)/100,0)</f>
        <v>0.02</v>
      </c>
      <c r="R30" s="22">
        <f ca="1">IF(INDIRECT("K"&amp;ROW(R30)-27)/100&gt;0,INDIRECT("K"&amp;ROW(R30)-27)/100,0)</f>
        <v>0.04</v>
      </c>
      <c r="S30" s="22">
        <f ca="1">IF(INDIRECT("L"&amp;ROW(S30)-27)/100&gt;0,INDIRECT("L"&amp;ROW(S30)-27)/100,0)</f>
        <v>0.05</v>
      </c>
      <c r="T30" s="22">
        <f ca="1">IF(INDIRECT("M"&amp;ROW(T30)-27)/100&gt;0,INDIRECT("M"&amp;ROW(T30)-27)/100,0)</f>
        <v>2.5000000000000001E-2</v>
      </c>
      <c r="U30" s="22">
        <f ca="1">IF(INDIRECT("N"&amp;ROW(U30)-27)/100&gt;0,INDIRECT("N"&amp;ROW(U30)-27)/100,0)</f>
        <v>0</v>
      </c>
      <c r="V30" s="22">
        <f ca="1">IF(INDIRECT("O"&amp;ROW(V30)-27)/100&gt;0,INDIRECT("O"&amp;ROW(V30)-27)/100,0)</f>
        <v>0</v>
      </c>
      <c r="W30" s="22"/>
      <c r="X30" s="25">
        <v>354</v>
      </c>
      <c r="Y30" s="26">
        <f t="shared" ca="1" si="12"/>
        <v>4.3333333333333335E-2</v>
      </c>
      <c r="Z30" s="26">
        <f t="shared" ca="1" si="13"/>
        <v>0.01</v>
      </c>
      <c r="AA30" s="26">
        <v>5.9599999999999996E-4</v>
      </c>
      <c r="AB30" s="26">
        <v>6.1299999999999999E-5</v>
      </c>
      <c r="AC30" s="26"/>
      <c r="AD30" s="25">
        <v>377</v>
      </c>
      <c r="AE30" s="27">
        <f t="shared" ca="1" si="14"/>
        <v>4.3333333333333335E-2</v>
      </c>
      <c r="AF30" s="27">
        <f t="shared" ca="1" si="15"/>
        <v>0.01</v>
      </c>
      <c r="AG30" s="22"/>
      <c r="AH30" s="6"/>
      <c r="AI30" s="28"/>
      <c r="AJ30" s="28"/>
      <c r="AK30" s="28"/>
      <c r="AL30" s="28"/>
      <c r="AM30" s="28"/>
      <c r="AN30" s="28"/>
    </row>
    <row r="31" spans="1:40" ht="15.75" x14ac:dyDescent="0.25">
      <c r="A31" s="2">
        <v>344</v>
      </c>
      <c r="B31" s="16">
        <f t="shared" ca="1" si="0"/>
        <v>0.04</v>
      </c>
      <c r="C31" s="16">
        <f t="shared" ca="1" si="1"/>
        <v>0.04</v>
      </c>
      <c r="D31" s="16">
        <f t="shared" ca="1" si="2"/>
        <v>0.05</v>
      </c>
      <c r="E31" s="16">
        <f t="shared" ca="1" si="3"/>
        <v>0.01</v>
      </c>
      <c r="F31" s="16">
        <f t="shared" ca="1" si="4"/>
        <v>0.01</v>
      </c>
      <c r="G31" s="16">
        <f t="shared" ca="1" si="5"/>
        <v>0.01</v>
      </c>
      <c r="H31" s="11"/>
      <c r="I31" s="2">
        <v>372</v>
      </c>
      <c r="J31" s="18">
        <v>4</v>
      </c>
      <c r="K31" s="18">
        <v>4</v>
      </c>
      <c r="L31" s="18">
        <v>5</v>
      </c>
      <c r="M31" s="18">
        <v>1</v>
      </c>
      <c r="N31" s="18">
        <v>1</v>
      </c>
      <c r="O31" s="18">
        <v>1</v>
      </c>
      <c r="P31" s="22">
        <v>399</v>
      </c>
      <c r="Q31" s="22">
        <f t="shared" ref="Q31:Q94" ca="1" si="16">IF(INDIRECT("J"&amp;ROW(Q31)-27)/100&gt;0,INDIRECT("J"&amp;ROW(Q31)-27)/100,0)</f>
        <v>0.04</v>
      </c>
      <c r="R31" s="22">
        <f t="shared" ref="R31:R94" ca="1" si="17">IF(INDIRECT("K"&amp;ROW(R31)-27)/100&gt;0,INDIRECT("K"&amp;ROW(R31)-27)/100,0)</f>
        <v>0.04</v>
      </c>
      <c r="S31" s="22">
        <f t="shared" ref="S31:S94" ca="1" si="18">IF(INDIRECT("L"&amp;ROW(S31)-27)/100&gt;0,INDIRECT("L"&amp;ROW(S31)-27)/100,0)</f>
        <v>0.05</v>
      </c>
      <c r="T31" s="22">
        <f t="shared" ref="T31:T94" ca="1" si="19">IF(INDIRECT("M"&amp;ROW(T31)-27)/100&gt;0,INDIRECT("M"&amp;ROW(T31)-27)/100,0)</f>
        <v>0.02</v>
      </c>
      <c r="U31" s="22">
        <f t="shared" ref="U31:U94" ca="1" si="20">IF(INDIRECT("N"&amp;ROW(U31)-27)/100&gt;0,INDIRECT("N"&amp;ROW(U31)-27)/100,0)</f>
        <v>0.02</v>
      </c>
      <c r="V31" s="22">
        <f t="shared" ref="V31:V94" ca="1" si="21">IF(INDIRECT("O"&amp;ROW(V31)-27)/100&gt;0,INDIRECT("O"&amp;ROW(V31)-27)/100,0)</f>
        <v>0.02</v>
      </c>
      <c r="W31" s="22"/>
      <c r="X31" s="25">
        <v>352</v>
      </c>
      <c r="Y31" s="26">
        <f t="shared" ca="1" si="12"/>
        <v>4.3333333333333335E-2</v>
      </c>
      <c r="Z31" s="26">
        <f t="shared" ca="1" si="13"/>
        <v>0.01</v>
      </c>
      <c r="AA31" s="26">
        <v>6.38E-4</v>
      </c>
      <c r="AB31" s="26">
        <v>5.8900000000000002E-5</v>
      </c>
      <c r="AC31" s="26"/>
      <c r="AD31" s="25">
        <v>376</v>
      </c>
      <c r="AE31" s="27">
        <f t="shared" ca="1" si="14"/>
        <v>4.3333333333333335E-2</v>
      </c>
      <c r="AF31" s="27">
        <f t="shared" ca="1" si="15"/>
        <v>0.01</v>
      </c>
      <c r="AG31" s="22"/>
      <c r="AH31" s="6"/>
      <c r="AI31" s="28"/>
      <c r="AJ31" s="28"/>
      <c r="AK31" s="28"/>
      <c r="AL31" s="28"/>
      <c r="AM31" s="28"/>
      <c r="AN31" s="28"/>
    </row>
    <row r="32" spans="1:40" ht="15.75" x14ac:dyDescent="0.25">
      <c r="A32" s="2">
        <v>342</v>
      </c>
      <c r="B32" s="16">
        <f t="shared" ca="1" si="0"/>
        <v>0.04</v>
      </c>
      <c r="C32" s="16">
        <f t="shared" ca="1" si="1"/>
        <v>0.04</v>
      </c>
      <c r="D32" s="16">
        <f t="shared" ca="1" si="2"/>
        <v>0.05</v>
      </c>
      <c r="E32" s="16">
        <f t="shared" ca="1" si="3"/>
        <v>0.01</v>
      </c>
      <c r="F32" s="16">
        <f t="shared" ca="1" si="4"/>
        <v>0.01</v>
      </c>
      <c r="G32" s="16">
        <f t="shared" ca="1" si="5"/>
        <v>0.01</v>
      </c>
      <c r="H32" s="11"/>
      <c r="I32" s="2">
        <v>371</v>
      </c>
      <c r="J32" s="18">
        <v>4</v>
      </c>
      <c r="K32" s="18">
        <v>4</v>
      </c>
      <c r="L32" s="18">
        <v>5</v>
      </c>
      <c r="M32" s="18">
        <v>1</v>
      </c>
      <c r="N32" s="18">
        <v>1</v>
      </c>
      <c r="O32" s="18">
        <v>1</v>
      </c>
      <c r="P32" s="22">
        <v>398</v>
      </c>
      <c r="Q32" s="22">
        <f t="shared" ca="1" si="16"/>
        <v>0.05</v>
      </c>
      <c r="R32" s="22">
        <f t="shared" ca="1" si="17"/>
        <v>0.05</v>
      </c>
      <c r="S32" s="22">
        <f t="shared" ca="1" si="18"/>
        <v>0.05</v>
      </c>
      <c r="T32" s="22">
        <f t="shared" ca="1" si="19"/>
        <v>0.01</v>
      </c>
      <c r="U32" s="22">
        <f t="shared" ca="1" si="20"/>
        <v>0.01</v>
      </c>
      <c r="V32" s="22">
        <f t="shared" ca="1" si="21"/>
        <v>0.01</v>
      </c>
      <c r="W32" s="22"/>
      <c r="X32" s="25">
        <v>350</v>
      </c>
      <c r="Y32" s="26">
        <f t="shared" ca="1" si="12"/>
        <v>4.3333333333333335E-2</v>
      </c>
      <c r="Z32" s="26">
        <f t="shared" ca="1" si="13"/>
        <v>0</v>
      </c>
      <c r="AA32" s="26">
        <v>6.8400000000000004E-4</v>
      </c>
      <c r="AB32" s="26">
        <v>5.5899999999999997E-5</v>
      </c>
      <c r="AC32" s="26"/>
      <c r="AD32" s="25">
        <v>375</v>
      </c>
      <c r="AE32" s="27">
        <f t="shared" ca="1" si="14"/>
        <v>4.3333333333333335E-2</v>
      </c>
      <c r="AF32" s="27">
        <f t="shared" ca="1" si="15"/>
        <v>0.01</v>
      </c>
      <c r="AG32" s="22"/>
      <c r="AH32" s="6"/>
      <c r="AI32" s="28"/>
      <c r="AJ32" s="28"/>
      <c r="AK32" s="28"/>
      <c r="AL32" s="28"/>
      <c r="AM32" s="28"/>
      <c r="AN32" s="28"/>
    </row>
    <row r="33" spans="1:40" ht="15.75" x14ac:dyDescent="0.25">
      <c r="A33" s="2">
        <v>340</v>
      </c>
      <c r="B33" s="16">
        <f t="shared" ca="1" si="0"/>
        <v>0.04</v>
      </c>
      <c r="C33" s="16">
        <f t="shared" ca="1" si="1"/>
        <v>0.04</v>
      </c>
      <c r="D33" s="16">
        <f t="shared" ca="1" si="2"/>
        <v>0.05</v>
      </c>
      <c r="E33" s="16">
        <f t="shared" ca="1" si="3"/>
        <v>0.01</v>
      </c>
      <c r="F33" s="16">
        <f t="shared" ca="1" si="4"/>
        <v>0.01</v>
      </c>
      <c r="G33" s="16">
        <f t="shared" ca="1" si="5"/>
        <v>0.01</v>
      </c>
      <c r="H33" s="11"/>
      <c r="I33" s="2">
        <v>370</v>
      </c>
      <c r="J33" s="18">
        <v>4</v>
      </c>
      <c r="K33" s="18">
        <v>4</v>
      </c>
      <c r="L33" s="18">
        <v>5</v>
      </c>
      <c r="M33" s="18">
        <v>1</v>
      </c>
      <c r="N33" s="18">
        <v>1</v>
      </c>
      <c r="O33" s="18">
        <v>1</v>
      </c>
      <c r="P33" s="22">
        <v>397</v>
      </c>
      <c r="Q33" s="22">
        <f t="shared" ca="1" si="16"/>
        <v>0.04</v>
      </c>
      <c r="R33" s="22">
        <f t="shared" ca="1" si="17"/>
        <v>0.04</v>
      </c>
      <c r="S33" s="22">
        <f t="shared" ca="1" si="18"/>
        <v>0.05</v>
      </c>
      <c r="T33" s="22">
        <f t="shared" ca="1" si="19"/>
        <v>0.02</v>
      </c>
      <c r="U33" s="22">
        <f t="shared" ca="1" si="20"/>
        <v>0.02</v>
      </c>
      <c r="V33" s="22">
        <f t="shared" ca="1" si="21"/>
        <v>0.02</v>
      </c>
      <c r="W33" s="22"/>
      <c r="X33" s="25">
        <v>348</v>
      </c>
      <c r="Y33" s="26">
        <f t="shared" ca="1" si="12"/>
        <v>4.3333333333333335E-2</v>
      </c>
      <c r="Z33" s="26">
        <f t="shared" ca="1" si="13"/>
        <v>0.01</v>
      </c>
      <c r="AA33" s="26">
        <v>7.3300000000000004E-4</v>
      </c>
      <c r="AB33" s="26">
        <v>5.3699999999999997E-5</v>
      </c>
      <c r="AC33" s="26"/>
      <c r="AD33" s="25">
        <v>374</v>
      </c>
      <c r="AE33" s="27">
        <f t="shared" ca="1" si="14"/>
        <v>4.3333333333333335E-2</v>
      </c>
      <c r="AF33" s="27">
        <f t="shared" ca="1" si="15"/>
        <v>0.01</v>
      </c>
      <c r="AG33" s="22"/>
      <c r="AH33" s="6"/>
      <c r="AI33" s="28"/>
      <c r="AJ33" s="28"/>
      <c r="AK33" s="28"/>
      <c r="AL33" s="28"/>
      <c r="AM33" s="28"/>
      <c r="AN33" s="28"/>
    </row>
    <row r="34" spans="1:40" ht="15.75" x14ac:dyDescent="0.25">
      <c r="A34" s="2">
        <v>338</v>
      </c>
      <c r="B34" s="16">
        <f t="shared" ca="1" si="0"/>
        <v>0.04</v>
      </c>
      <c r="C34" s="16">
        <f t="shared" ca="1" si="1"/>
        <v>0.04</v>
      </c>
      <c r="D34" s="16">
        <f t="shared" ca="1" si="2"/>
        <v>0.05</v>
      </c>
      <c r="E34" s="16">
        <f t="shared" ca="1" si="3"/>
        <v>0.01</v>
      </c>
      <c r="F34" s="16">
        <f t="shared" ca="1" si="4"/>
        <v>0.01</v>
      </c>
      <c r="G34" s="16">
        <f t="shared" ca="1" si="5"/>
        <v>0.01</v>
      </c>
      <c r="H34" s="11"/>
      <c r="I34" s="2">
        <v>369</v>
      </c>
      <c r="J34" s="18">
        <v>4</v>
      </c>
      <c r="K34" s="18">
        <v>4</v>
      </c>
      <c r="L34" s="18">
        <v>5</v>
      </c>
      <c r="M34" s="18">
        <v>1</v>
      </c>
      <c r="N34" s="18">
        <v>1</v>
      </c>
      <c r="O34" s="18">
        <v>1</v>
      </c>
      <c r="P34" s="22">
        <v>396</v>
      </c>
      <c r="Q34" s="22">
        <f t="shared" ca="1" si="16"/>
        <v>0.04</v>
      </c>
      <c r="R34" s="22">
        <f t="shared" ca="1" si="17"/>
        <v>0.04</v>
      </c>
      <c r="S34" s="22">
        <f t="shared" ca="1" si="18"/>
        <v>0.05</v>
      </c>
      <c r="T34" s="22">
        <f t="shared" ca="1" si="19"/>
        <v>0.03</v>
      </c>
      <c r="U34" s="22">
        <f t="shared" ca="1" si="20"/>
        <v>0.03</v>
      </c>
      <c r="V34" s="22">
        <f t="shared" ca="1" si="21"/>
        <v>0.03</v>
      </c>
      <c r="W34" s="22"/>
      <c r="X34" s="25">
        <v>346</v>
      </c>
      <c r="Y34" s="26">
        <f t="shared" ca="1" si="12"/>
        <v>4.3333333333333335E-2</v>
      </c>
      <c r="Z34" s="26">
        <f t="shared" ca="1" si="13"/>
        <v>0.01</v>
      </c>
      <c r="AA34" s="26">
        <v>7.85E-4</v>
      </c>
      <c r="AB34" s="26">
        <v>5.3399999999999997E-5</v>
      </c>
      <c r="AC34" s="26"/>
      <c r="AD34" s="25">
        <v>373</v>
      </c>
      <c r="AE34" s="27">
        <f t="shared" ca="1" si="14"/>
        <v>4.3333333333333335E-2</v>
      </c>
      <c r="AF34" s="27">
        <f t="shared" ca="1" si="15"/>
        <v>0.01</v>
      </c>
      <c r="AG34" s="22"/>
      <c r="AH34" s="6"/>
      <c r="AI34" s="28"/>
      <c r="AJ34" s="28"/>
      <c r="AK34" s="28"/>
      <c r="AL34" s="28"/>
      <c r="AM34" s="28"/>
      <c r="AN34" s="28"/>
    </row>
    <row r="35" spans="1:40" ht="15.75" x14ac:dyDescent="0.25">
      <c r="A35" s="2">
        <v>336</v>
      </c>
      <c r="B35" s="16">
        <f t="shared" ca="1" si="0"/>
        <v>0.04</v>
      </c>
      <c r="C35" s="16">
        <f t="shared" ca="1" si="1"/>
        <v>0.04</v>
      </c>
      <c r="D35" s="16">
        <f t="shared" ca="1" si="2"/>
        <v>0.05</v>
      </c>
      <c r="E35" s="16">
        <f t="shared" ca="1" si="3"/>
        <v>0.01</v>
      </c>
      <c r="F35" s="16">
        <f t="shared" ca="1" si="4"/>
        <v>0.01</v>
      </c>
      <c r="G35" s="16">
        <f t="shared" ca="1" si="5"/>
        <v>0.01</v>
      </c>
      <c r="H35" s="11"/>
      <c r="I35" s="2">
        <v>368</v>
      </c>
      <c r="J35" s="18">
        <v>5</v>
      </c>
      <c r="K35" s="18">
        <v>5</v>
      </c>
      <c r="L35" s="18">
        <v>55</v>
      </c>
      <c r="M35" s="18">
        <v>1</v>
      </c>
      <c r="N35" s="18">
        <v>1</v>
      </c>
      <c r="O35" s="18">
        <v>1</v>
      </c>
      <c r="P35" s="22">
        <v>395</v>
      </c>
      <c r="Q35" s="22">
        <f t="shared" ca="1" si="16"/>
        <v>0.04</v>
      </c>
      <c r="R35" s="22">
        <f t="shared" ca="1" si="17"/>
        <v>0.04</v>
      </c>
      <c r="S35" s="22">
        <f t="shared" ca="1" si="18"/>
        <v>0.05</v>
      </c>
      <c r="T35" s="22">
        <f t="shared" ca="1" si="19"/>
        <v>0.04</v>
      </c>
      <c r="U35" s="22">
        <f t="shared" ca="1" si="20"/>
        <v>0.04</v>
      </c>
      <c r="V35" s="22">
        <f t="shared" ca="1" si="21"/>
        <v>0.04</v>
      </c>
      <c r="W35" s="22"/>
      <c r="X35" s="25">
        <v>344</v>
      </c>
      <c r="Y35" s="26">
        <f t="shared" ca="1" si="12"/>
        <v>4.3333333333333335E-2</v>
      </c>
      <c r="Z35" s="26">
        <f t="shared" ca="1" si="13"/>
        <v>0.01</v>
      </c>
      <c r="AA35" s="26">
        <v>8.4099999999999995E-4</v>
      </c>
      <c r="AB35" s="26">
        <v>5.3499999999999999E-5</v>
      </c>
      <c r="AC35" s="26"/>
      <c r="AD35" s="25">
        <v>372</v>
      </c>
      <c r="AE35" s="27">
        <f t="shared" ca="1" si="14"/>
        <v>4.3333333333333335E-2</v>
      </c>
      <c r="AF35" s="27">
        <f t="shared" ca="1" si="15"/>
        <v>0.01</v>
      </c>
      <c r="AG35" s="22"/>
      <c r="AH35" s="6"/>
      <c r="AI35" s="28"/>
      <c r="AJ35" s="28"/>
      <c r="AK35" s="28"/>
      <c r="AL35" s="28"/>
      <c r="AM35" s="28"/>
      <c r="AN35" s="28"/>
    </row>
    <row r="36" spans="1:40" ht="15.75" x14ac:dyDescent="0.25">
      <c r="A36" s="2">
        <v>334</v>
      </c>
      <c r="B36" s="16">
        <f t="shared" ca="1" si="0"/>
        <v>0.04</v>
      </c>
      <c r="C36" s="16">
        <f t="shared" ca="1" si="1"/>
        <v>0.04</v>
      </c>
      <c r="D36" s="16">
        <f t="shared" ca="1" si="2"/>
        <v>0.05</v>
      </c>
      <c r="E36" s="16">
        <f t="shared" ca="1" si="3"/>
        <v>0.01</v>
      </c>
      <c r="F36" s="16">
        <f t="shared" ca="1" si="4"/>
        <v>0.01</v>
      </c>
      <c r="G36" s="16">
        <f t="shared" ca="1" si="5"/>
        <v>0.01</v>
      </c>
      <c r="H36" s="11"/>
      <c r="I36" s="2">
        <v>367</v>
      </c>
      <c r="J36" s="18">
        <v>4</v>
      </c>
      <c r="K36" s="18">
        <v>4</v>
      </c>
      <c r="L36" s="18">
        <v>5</v>
      </c>
      <c r="M36" s="18">
        <v>1</v>
      </c>
      <c r="N36" s="18">
        <v>1</v>
      </c>
      <c r="O36" s="18">
        <v>1</v>
      </c>
      <c r="P36" s="22">
        <v>394</v>
      </c>
      <c r="Q36" s="22">
        <f t="shared" ca="1" si="16"/>
        <v>0.04</v>
      </c>
      <c r="R36" s="22">
        <f t="shared" ca="1" si="17"/>
        <v>0.04</v>
      </c>
      <c r="S36" s="22">
        <f t="shared" ca="1" si="18"/>
        <v>0.05</v>
      </c>
      <c r="T36" s="22">
        <f t="shared" ca="1" si="19"/>
        <v>0.02</v>
      </c>
      <c r="U36" s="22">
        <f t="shared" ca="1" si="20"/>
        <v>0.02</v>
      </c>
      <c r="V36" s="22">
        <f t="shared" ca="1" si="21"/>
        <v>0.02</v>
      </c>
      <c r="W36" s="22"/>
      <c r="X36" s="25">
        <v>342</v>
      </c>
      <c r="Y36" s="26">
        <f t="shared" ca="1" si="12"/>
        <v>4.3333333333333335E-2</v>
      </c>
      <c r="Z36" s="26">
        <f t="shared" ca="1" si="13"/>
        <v>0.01</v>
      </c>
      <c r="AA36" s="26">
        <v>9.0200000000000002E-4</v>
      </c>
      <c r="AB36" s="26">
        <v>5.5899999999999997E-5</v>
      </c>
      <c r="AC36" s="26"/>
      <c r="AD36" s="25">
        <v>371</v>
      </c>
      <c r="AE36" s="27">
        <f t="shared" ca="1" si="14"/>
        <v>4.3333333333333335E-2</v>
      </c>
      <c r="AF36" s="27">
        <f t="shared" ca="1" si="15"/>
        <v>0.01</v>
      </c>
      <c r="AG36" s="22"/>
      <c r="AH36" s="6"/>
      <c r="AI36" s="28"/>
      <c r="AJ36" s="28"/>
      <c r="AK36" s="28"/>
      <c r="AL36" s="28"/>
      <c r="AM36" s="28"/>
      <c r="AN36" s="28"/>
    </row>
    <row r="37" spans="1:40" ht="15.75" x14ac:dyDescent="0.25">
      <c r="A37" s="2">
        <v>332</v>
      </c>
      <c r="B37" s="16">
        <f t="shared" ca="1" si="0"/>
        <v>0.04</v>
      </c>
      <c r="C37" s="16">
        <f t="shared" ca="1" si="1"/>
        <v>0.04</v>
      </c>
      <c r="D37" s="16">
        <f t="shared" ca="1" si="2"/>
        <v>0.05</v>
      </c>
      <c r="E37" s="16">
        <f t="shared" ca="1" si="3"/>
        <v>0.01</v>
      </c>
      <c r="F37" s="16">
        <f t="shared" ca="1" si="4"/>
        <v>0.01</v>
      </c>
      <c r="G37" s="16">
        <f t="shared" ca="1" si="5"/>
        <v>0.01</v>
      </c>
      <c r="H37" s="11"/>
      <c r="I37" s="2">
        <v>366</v>
      </c>
      <c r="J37" s="18">
        <v>4</v>
      </c>
      <c r="K37" s="18">
        <v>4</v>
      </c>
      <c r="L37" s="18">
        <v>5</v>
      </c>
      <c r="M37" s="18">
        <v>1</v>
      </c>
      <c r="N37" s="18">
        <v>1</v>
      </c>
      <c r="O37" s="18">
        <v>1</v>
      </c>
      <c r="P37" s="22">
        <v>393</v>
      </c>
      <c r="Q37" s="22">
        <f t="shared" ca="1" si="16"/>
        <v>0.04</v>
      </c>
      <c r="R37" s="22">
        <f t="shared" ca="1" si="17"/>
        <v>0.04</v>
      </c>
      <c r="S37" s="22">
        <f t="shared" ca="1" si="18"/>
        <v>0.05</v>
      </c>
      <c r="T37" s="22">
        <f t="shared" ca="1" si="19"/>
        <v>0.05</v>
      </c>
      <c r="U37" s="22">
        <f t="shared" ca="1" si="20"/>
        <v>0.05</v>
      </c>
      <c r="V37" s="22">
        <f t="shared" ca="1" si="21"/>
        <v>0.05</v>
      </c>
      <c r="W37" s="22"/>
      <c r="X37" s="25">
        <v>340</v>
      </c>
      <c r="Y37" s="26">
        <f t="shared" ca="1" si="12"/>
        <v>4.3333333333333335E-2</v>
      </c>
      <c r="Z37" s="26">
        <f t="shared" ca="1" si="13"/>
        <v>0.01</v>
      </c>
      <c r="AA37" s="26">
        <v>9.6599999999999995E-4</v>
      </c>
      <c r="AB37" s="26">
        <v>5.3900000000000002E-5</v>
      </c>
      <c r="AC37" s="26"/>
      <c r="AD37" s="25">
        <v>370</v>
      </c>
      <c r="AE37" s="27">
        <f t="shared" ca="1" si="14"/>
        <v>4.3333333333333335E-2</v>
      </c>
      <c r="AF37" s="27">
        <f t="shared" ca="1" si="15"/>
        <v>0.01</v>
      </c>
      <c r="AG37" s="22"/>
      <c r="AH37" s="6"/>
      <c r="AI37" s="28"/>
      <c r="AJ37" s="28"/>
      <c r="AK37" s="28"/>
      <c r="AL37" s="28"/>
      <c r="AM37" s="28"/>
      <c r="AN37" s="28"/>
    </row>
    <row r="38" spans="1:40" ht="15.75" x14ac:dyDescent="0.25">
      <c r="A38" s="2">
        <v>330</v>
      </c>
      <c r="B38" s="16">
        <f t="shared" ca="1" si="0"/>
        <v>0.04</v>
      </c>
      <c r="C38" s="16">
        <f t="shared" ca="1" si="1"/>
        <v>0.04</v>
      </c>
      <c r="D38" s="16">
        <f t="shared" ca="1" si="2"/>
        <v>0.05</v>
      </c>
      <c r="E38" s="16">
        <f t="shared" ca="1" si="3"/>
        <v>0.01</v>
      </c>
      <c r="F38" s="16">
        <f t="shared" ca="1" si="4"/>
        <v>0.01</v>
      </c>
      <c r="G38" s="16">
        <f t="shared" ca="1" si="5"/>
        <v>0.01</v>
      </c>
      <c r="H38" s="11"/>
      <c r="I38" s="2">
        <v>365</v>
      </c>
      <c r="J38" s="18">
        <v>4</v>
      </c>
      <c r="K38" s="18">
        <v>4</v>
      </c>
      <c r="L38" s="18">
        <v>5</v>
      </c>
      <c r="M38" s="18">
        <v>1</v>
      </c>
      <c r="N38" s="18">
        <v>1</v>
      </c>
      <c r="O38" s="18">
        <v>1</v>
      </c>
      <c r="P38" s="22">
        <v>392</v>
      </c>
      <c r="Q38" s="22">
        <f t="shared" ca="1" si="16"/>
        <v>0.04</v>
      </c>
      <c r="R38" s="22">
        <f t="shared" ca="1" si="17"/>
        <v>0.04</v>
      </c>
      <c r="S38" s="22">
        <f t="shared" ca="1" si="18"/>
        <v>0.05</v>
      </c>
      <c r="T38" s="22">
        <f t="shared" ca="1" si="19"/>
        <v>0.01</v>
      </c>
      <c r="U38" s="22">
        <f t="shared" ca="1" si="20"/>
        <v>0.01</v>
      </c>
      <c r="V38" s="22">
        <f t="shared" ca="1" si="21"/>
        <v>0.01</v>
      </c>
      <c r="W38" s="22"/>
      <c r="X38" s="25">
        <v>338</v>
      </c>
      <c r="Y38" s="26">
        <f t="shared" ca="1" si="12"/>
        <v>4.3333333333333335E-2</v>
      </c>
      <c r="Z38" s="26">
        <f t="shared" ca="1" si="13"/>
        <v>0.01</v>
      </c>
      <c r="AA38" s="26">
        <v>1.0399999999999999E-3</v>
      </c>
      <c r="AB38" s="26">
        <v>4.99E-5</v>
      </c>
      <c r="AC38" s="26"/>
      <c r="AD38" s="25">
        <v>369</v>
      </c>
      <c r="AE38" s="27">
        <f t="shared" ca="1" si="14"/>
        <v>4.3333333333333335E-2</v>
      </c>
      <c r="AF38" s="27">
        <f t="shared" ca="1" si="15"/>
        <v>0.01</v>
      </c>
      <c r="AG38" s="22"/>
      <c r="AH38" s="6"/>
      <c r="AI38" s="28"/>
      <c r="AJ38" s="28"/>
      <c r="AK38" s="28"/>
      <c r="AL38" s="28"/>
      <c r="AM38" s="28"/>
      <c r="AN38" s="28"/>
    </row>
    <row r="39" spans="1:40" ht="15.75" x14ac:dyDescent="0.25">
      <c r="A39" s="2">
        <v>328</v>
      </c>
      <c r="B39" s="16">
        <f t="shared" ca="1" si="0"/>
        <v>0.04</v>
      </c>
      <c r="C39" s="16">
        <f t="shared" ca="1" si="1"/>
        <v>0.04</v>
      </c>
      <c r="D39" s="16">
        <f t="shared" ca="1" si="2"/>
        <v>0.05</v>
      </c>
      <c r="E39" s="16">
        <f t="shared" ca="1" si="3"/>
        <v>0.01</v>
      </c>
      <c r="F39" s="16">
        <f t="shared" ca="1" si="4"/>
        <v>0.01</v>
      </c>
      <c r="G39" s="16">
        <f t="shared" ca="1" si="5"/>
        <v>0.01</v>
      </c>
      <c r="H39" s="11"/>
      <c r="I39" s="2">
        <v>364</v>
      </c>
      <c r="J39" s="18">
        <v>4</v>
      </c>
      <c r="K39" s="18">
        <v>4</v>
      </c>
      <c r="L39" s="18">
        <v>5</v>
      </c>
      <c r="M39" s="18">
        <v>1</v>
      </c>
      <c r="N39" s="18">
        <v>1</v>
      </c>
      <c r="O39" s="18">
        <v>1</v>
      </c>
      <c r="P39" s="22">
        <v>391</v>
      </c>
      <c r="Q39" s="22">
        <f t="shared" ca="1" si="16"/>
        <v>0.04</v>
      </c>
      <c r="R39" s="22">
        <f t="shared" ca="1" si="17"/>
        <v>0.04</v>
      </c>
      <c r="S39" s="22">
        <f t="shared" ca="1" si="18"/>
        <v>0.05</v>
      </c>
      <c r="T39" s="22">
        <f t="shared" ca="1" si="19"/>
        <v>4.3214285714285705E-2</v>
      </c>
      <c r="U39" s="22">
        <f t="shared" ca="1" si="20"/>
        <v>4.3214285714285705E-2</v>
      </c>
      <c r="V39" s="22">
        <f t="shared" ca="1" si="21"/>
        <v>4.3214285714285705E-2</v>
      </c>
      <c r="W39" s="22"/>
      <c r="X39" s="25">
        <v>336</v>
      </c>
      <c r="Y39" s="26">
        <f t="shared" ca="1" si="12"/>
        <v>4.3333333333333335E-2</v>
      </c>
      <c r="Z39" s="26">
        <f t="shared" ca="1" si="13"/>
        <v>0.01</v>
      </c>
      <c r="AA39" s="26">
        <v>1.1100000000000001E-3</v>
      </c>
      <c r="AB39" s="26">
        <v>5.0399999999999999E-5</v>
      </c>
      <c r="AC39" s="26"/>
      <c r="AD39" s="25">
        <v>368</v>
      </c>
      <c r="AE39" s="27">
        <f t="shared" ca="1" si="14"/>
        <v>0.21666666666666667</v>
      </c>
      <c r="AF39" s="27">
        <f t="shared" ca="1" si="15"/>
        <v>0.01</v>
      </c>
      <c r="AG39" s="22"/>
      <c r="AH39" s="6"/>
      <c r="AI39" s="28"/>
      <c r="AJ39" s="28"/>
      <c r="AK39" s="28"/>
      <c r="AL39" s="28"/>
      <c r="AM39" s="28"/>
      <c r="AN39" s="28"/>
    </row>
    <row r="40" spans="1:40" ht="15.75" x14ac:dyDescent="0.25">
      <c r="A40" s="2">
        <v>326</v>
      </c>
      <c r="B40" s="16">
        <f t="shared" ca="1" si="0"/>
        <v>0.04</v>
      </c>
      <c r="C40" s="16">
        <f t="shared" ca="1" si="1"/>
        <v>0.04</v>
      </c>
      <c r="D40" s="16">
        <f t="shared" ca="1" si="2"/>
        <v>0.05</v>
      </c>
      <c r="E40" s="16">
        <f t="shared" ca="1" si="3"/>
        <v>0.01</v>
      </c>
      <c r="F40" s="16">
        <f t="shared" ca="1" si="4"/>
        <v>0.01</v>
      </c>
      <c r="G40" s="16">
        <f t="shared" ca="1" si="5"/>
        <v>0.01</v>
      </c>
      <c r="H40" s="11"/>
      <c r="I40" s="2">
        <v>363</v>
      </c>
      <c r="J40" s="18">
        <v>4</v>
      </c>
      <c r="K40" s="18">
        <v>4</v>
      </c>
      <c r="L40" s="18">
        <v>5</v>
      </c>
      <c r="M40" s="18">
        <v>1</v>
      </c>
      <c r="N40" s="18">
        <v>1</v>
      </c>
      <c r="O40" s="18">
        <v>1</v>
      </c>
      <c r="P40" s="22">
        <v>390</v>
      </c>
      <c r="Q40" s="22">
        <f t="shared" ca="1" si="16"/>
        <v>0.04</v>
      </c>
      <c r="R40" s="22">
        <f t="shared" ca="1" si="17"/>
        <v>0.04</v>
      </c>
      <c r="S40" s="22">
        <f t="shared" ca="1" si="18"/>
        <v>0.05</v>
      </c>
      <c r="T40" s="22">
        <f t="shared" ca="1" si="19"/>
        <v>0.01</v>
      </c>
      <c r="U40" s="22">
        <f t="shared" ca="1" si="20"/>
        <v>0.01</v>
      </c>
      <c r="V40" s="22">
        <f t="shared" ca="1" si="21"/>
        <v>0.01</v>
      </c>
      <c r="W40" s="22"/>
      <c r="X40" s="25">
        <v>334</v>
      </c>
      <c r="Y40" s="26">
        <f t="shared" ca="1" si="12"/>
        <v>4.3333333333333335E-2</v>
      </c>
      <c r="Z40" s="26">
        <f t="shared" ca="1" si="13"/>
        <v>0.01</v>
      </c>
      <c r="AA40" s="26">
        <v>1.1900000000000001E-3</v>
      </c>
      <c r="AB40" s="26">
        <v>5.2299999999999997E-5</v>
      </c>
      <c r="AC40" s="26"/>
      <c r="AD40" s="25">
        <v>367</v>
      </c>
      <c r="AE40" s="27">
        <f t="shared" ca="1" si="14"/>
        <v>4.3333333333333335E-2</v>
      </c>
      <c r="AF40" s="27">
        <f t="shared" ca="1" si="15"/>
        <v>0.01</v>
      </c>
      <c r="AG40" s="22"/>
      <c r="AH40" s="6"/>
      <c r="AI40" s="28"/>
      <c r="AJ40" s="28"/>
      <c r="AK40" s="28"/>
      <c r="AL40" s="28"/>
      <c r="AM40" s="28"/>
      <c r="AN40" s="28"/>
    </row>
    <row r="41" spans="1:40" ht="15.75" x14ac:dyDescent="0.25">
      <c r="A41" s="2">
        <v>324</v>
      </c>
      <c r="B41" s="16">
        <f t="shared" ca="1" si="0"/>
        <v>0.04</v>
      </c>
      <c r="C41" s="16">
        <f t="shared" ca="1" si="1"/>
        <v>0.04</v>
      </c>
      <c r="D41" s="16">
        <f t="shared" ca="1" si="2"/>
        <v>0.05</v>
      </c>
      <c r="E41" s="16">
        <f t="shared" ca="1" si="3"/>
        <v>0.01</v>
      </c>
      <c r="F41" s="16">
        <f t="shared" ca="1" si="4"/>
        <v>0.01</v>
      </c>
      <c r="G41" s="16">
        <f t="shared" ca="1" si="5"/>
        <v>0.01</v>
      </c>
      <c r="H41" s="11"/>
      <c r="I41" s="2">
        <v>362</v>
      </c>
      <c r="J41" s="18">
        <v>4</v>
      </c>
      <c r="K41" s="18">
        <v>4</v>
      </c>
      <c r="L41" s="18">
        <v>5</v>
      </c>
      <c r="M41" s="18">
        <v>1</v>
      </c>
      <c r="N41" s="18">
        <v>1</v>
      </c>
      <c r="O41" s="18">
        <v>1</v>
      </c>
      <c r="P41" s="22">
        <v>389</v>
      </c>
      <c r="Q41" s="22">
        <f t="shared" ca="1" si="16"/>
        <v>0.04</v>
      </c>
      <c r="R41" s="22">
        <f t="shared" ca="1" si="17"/>
        <v>0.04</v>
      </c>
      <c r="S41" s="22">
        <f t="shared" ca="1" si="18"/>
        <v>0.05</v>
      </c>
      <c r="T41" s="22">
        <f t="shared" ca="1" si="19"/>
        <v>0.01</v>
      </c>
      <c r="U41" s="22">
        <f t="shared" ca="1" si="20"/>
        <v>0.01</v>
      </c>
      <c r="V41" s="22">
        <f t="shared" ca="1" si="21"/>
        <v>0.01</v>
      </c>
      <c r="W41" s="22"/>
      <c r="X41" s="25">
        <v>332</v>
      </c>
      <c r="Y41" s="26">
        <f t="shared" ca="1" si="12"/>
        <v>4.3333333333333335E-2</v>
      </c>
      <c r="Z41" s="26">
        <f t="shared" ca="1" si="13"/>
        <v>0.01</v>
      </c>
      <c r="AA41" s="26">
        <v>1.2700000000000001E-3</v>
      </c>
      <c r="AB41" s="26">
        <v>5.3300000000000001E-5</v>
      </c>
      <c r="AC41" s="26"/>
      <c r="AD41" s="25">
        <v>366</v>
      </c>
      <c r="AE41" s="27">
        <f t="shared" ca="1" si="14"/>
        <v>4.3333333333333335E-2</v>
      </c>
      <c r="AF41" s="27">
        <f t="shared" ca="1" si="15"/>
        <v>0.01</v>
      </c>
      <c r="AG41" s="22"/>
      <c r="AH41" s="6"/>
      <c r="AI41" s="28"/>
      <c r="AJ41" s="28"/>
      <c r="AK41" s="28"/>
      <c r="AL41" s="28"/>
      <c r="AM41" s="28"/>
      <c r="AN41" s="28"/>
    </row>
    <row r="42" spans="1:40" ht="15.75" x14ac:dyDescent="0.25">
      <c r="A42" s="2">
        <v>322</v>
      </c>
      <c r="B42" s="16">
        <f t="shared" ca="1" si="0"/>
        <v>0.04</v>
      </c>
      <c r="C42" s="16">
        <f t="shared" ca="1" si="1"/>
        <v>0.04</v>
      </c>
      <c r="D42" s="16">
        <f t="shared" ca="1" si="2"/>
        <v>0.05</v>
      </c>
      <c r="E42" s="16">
        <f t="shared" ca="1" si="3"/>
        <v>0.01</v>
      </c>
      <c r="F42" s="16">
        <f t="shared" ca="1" si="4"/>
        <v>0.01</v>
      </c>
      <c r="G42" s="16">
        <f t="shared" ca="1" si="5"/>
        <v>0.01</v>
      </c>
      <c r="H42" s="11"/>
      <c r="I42" s="2">
        <v>361</v>
      </c>
      <c r="J42" s="18">
        <v>4</v>
      </c>
      <c r="K42" s="18">
        <v>4</v>
      </c>
      <c r="L42" s="18">
        <v>5</v>
      </c>
      <c r="M42" s="18">
        <v>1</v>
      </c>
      <c r="N42" s="18">
        <v>1</v>
      </c>
      <c r="O42" s="18">
        <v>1</v>
      </c>
      <c r="P42" s="22">
        <v>388</v>
      </c>
      <c r="Q42" s="22">
        <f t="shared" ca="1" si="16"/>
        <v>0.04</v>
      </c>
      <c r="R42" s="22">
        <f t="shared" ca="1" si="17"/>
        <v>0.04</v>
      </c>
      <c r="S42" s="22">
        <f t="shared" ca="1" si="18"/>
        <v>0.05</v>
      </c>
      <c r="T42" s="22">
        <f t="shared" ca="1" si="19"/>
        <v>0</v>
      </c>
      <c r="U42" s="22">
        <f t="shared" ca="1" si="20"/>
        <v>0</v>
      </c>
      <c r="V42" s="22">
        <f t="shared" ca="1" si="21"/>
        <v>0</v>
      </c>
      <c r="W42" s="22"/>
      <c r="X42" s="25">
        <v>330</v>
      </c>
      <c r="Y42" s="26">
        <f t="shared" ca="1" si="12"/>
        <v>4.3333333333333335E-2</v>
      </c>
      <c r="Z42" s="26">
        <f t="shared" ca="1" si="13"/>
        <v>0.01</v>
      </c>
      <c r="AA42" s="26">
        <v>1.3600000000000001E-3</v>
      </c>
      <c r="AB42" s="26">
        <v>5.3199999999999999E-5</v>
      </c>
      <c r="AC42" s="26"/>
      <c r="AD42" s="25">
        <v>365</v>
      </c>
      <c r="AE42" s="27">
        <f t="shared" ca="1" si="14"/>
        <v>4.3333333333333335E-2</v>
      </c>
      <c r="AF42" s="27">
        <f t="shared" ca="1" si="15"/>
        <v>0.01</v>
      </c>
      <c r="AG42" s="22"/>
      <c r="AH42" s="6"/>
      <c r="AI42" s="28"/>
      <c r="AJ42" s="28"/>
      <c r="AK42" s="28"/>
      <c r="AL42" s="28"/>
      <c r="AM42" s="28"/>
      <c r="AN42" s="28"/>
    </row>
    <row r="43" spans="1:40" ht="15.75" x14ac:dyDescent="0.25">
      <c r="A43" s="2">
        <v>320</v>
      </c>
      <c r="B43" s="16">
        <f t="shared" ca="1" si="0"/>
        <v>0.04</v>
      </c>
      <c r="C43" s="16">
        <f t="shared" ca="1" si="1"/>
        <v>0.04</v>
      </c>
      <c r="D43" s="16">
        <f t="shared" ca="1" si="2"/>
        <v>0.05</v>
      </c>
      <c r="E43" s="16">
        <f t="shared" ca="1" si="3"/>
        <v>0.01</v>
      </c>
      <c r="F43" s="16">
        <f t="shared" ca="1" si="4"/>
        <v>0.01</v>
      </c>
      <c r="G43" s="16">
        <f t="shared" ca="1" si="5"/>
        <v>0.01</v>
      </c>
      <c r="H43" s="11"/>
      <c r="I43" s="2">
        <v>360</v>
      </c>
      <c r="J43" s="18">
        <v>4</v>
      </c>
      <c r="K43" s="18">
        <v>4</v>
      </c>
      <c r="L43" s="18">
        <v>5</v>
      </c>
      <c r="M43" s="18">
        <v>1</v>
      </c>
      <c r="N43" s="18">
        <v>1</v>
      </c>
      <c r="O43" s="18">
        <v>1</v>
      </c>
      <c r="P43" s="22">
        <v>387</v>
      </c>
      <c r="Q43" s="22">
        <f t="shared" ca="1" si="16"/>
        <v>0.04</v>
      </c>
      <c r="R43" s="22">
        <f t="shared" ca="1" si="17"/>
        <v>0.04</v>
      </c>
      <c r="S43" s="22">
        <f t="shared" ca="1" si="18"/>
        <v>0.05</v>
      </c>
      <c r="T43" s="22">
        <f t="shared" ca="1" si="19"/>
        <v>0.01</v>
      </c>
      <c r="U43" s="22">
        <f t="shared" ca="1" si="20"/>
        <v>0.01</v>
      </c>
      <c r="V43" s="22">
        <f t="shared" ca="1" si="21"/>
        <v>0.01</v>
      </c>
      <c r="W43" s="22"/>
      <c r="X43" s="25">
        <v>328</v>
      </c>
      <c r="Y43" s="26">
        <f t="shared" ca="1" si="12"/>
        <v>4.3333333333333335E-2</v>
      </c>
      <c r="Z43" s="26">
        <f t="shared" ca="1" si="13"/>
        <v>0.01</v>
      </c>
      <c r="AA43" s="26">
        <v>1.5100000000000001E-3</v>
      </c>
      <c r="AB43" s="26">
        <v>5.0099999999999998E-5</v>
      </c>
      <c r="AC43" s="26"/>
      <c r="AD43" s="25">
        <v>364</v>
      </c>
      <c r="AE43" s="27">
        <f t="shared" ca="1" si="14"/>
        <v>4.3333333333333335E-2</v>
      </c>
      <c r="AF43" s="27">
        <f t="shared" ca="1" si="15"/>
        <v>0.01</v>
      </c>
      <c r="AG43" s="22"/>
      <c r="AH43" s="6"/>
      <c r="AI43" s="28"/>
      <c r="AJ43" s="28"/>
      <c r="AK43" s="28"/>
      <c r="AL43" s="28"/>
      <c r="AM43" s="28"/>
      <c r="AN43" s="28"/>
    </row>
    <row r="44" spans="1:40" ht="15.75" x14ac:dyDescent="0.25">
      <c r="A44" s="2">
        <v>318</v>
      </c>
      <c r="B44" s="16">
        <f t="shared" ca="1" si="0"/>
        <v>0.04</v>
      </c>
      <c r="C44" s="16">
        <f t="shared" ca="1" si="1"/>
        <v>0.04</v>
      </c>
      <c r="D44" s="16">
        <f t="shared" ca="1" si="2"/>
        <v>0.05</v>
      </c>
      <c r="E44" s="16">
        <f t="shared" ca="1" si="3"/>
        <v>0.01</v>
      </c>
      <c r="F44" s="16">
        <f t="shared" ca="1" si="4"/>
        <v>0.01</v>
      </c>
      <c r="G44" s="16">
        <f t="shared" ca="1" si="5"/>
        <v>0.01</v>
      </c>
      <c r="H44" s="11"/>
      <c r="I44" s="2">
        <v>359</v>
      </c>
      <c r="J44" s="18">
        <v>4</v>
      </c>
      <c r="K44" s="18">
        <v>4</v>
      </c>
      <c r="L44" s="18">
        <v>5</v>
      </c>
      <c r="M44" s="18">
        <v>1</v>
      </c>
      <c r="N44" s="18">
        <v>1</v>
      </c>
      <c r="O44" s="18">
        <v>1</v>
      </c>
      <c r="P44" s="22">
        <v>386</v>
      </c>
      <c r="Q44" s="22">
        <f t="shared" ca="1" si="16"/>
        <v>0.04</v>
      </c>
      <c r="R44" s="22">
        <f t="shared" ca="1" si="17"/>
        <v>0.04</v>
      </c>
      <c r="S44" s="22">
        <f t="shared" ca="1" si="18"/>
        <v>0.05</v>
      </c>
      <c r="T44" s="22">
        <f t="shared" ca="1" si="19"/>
        <v>0.01</v>
      </c>
      <c r="U44" s="22">
        <f t="shared" ca="1" si="20"/>
        <v>0.01</v>
      </c>
      <c r="V44" s="22">
        <f t="shared" ca="1" si="21"/>
        <v>0.01</v>
      </c>
      <c r="W44" s="22"/>
      <c r="X44" s="25">
        <v>326</v>
      </c>
      <c r="Y44" s="26">
        <f t="shared" ca="1" si="12"/>
        <v>4.3333333333333335E-2</v>
      </c>
      <c r="Z44" s="26">
        <f t="shared" ca="1" si="13"/>
        <v>0.01</v>
      </c>
      <c r="AA44" s="26">
        <v>2.33E-3</v>
      </c>
      <c r="AB44" s="26">
        <v>4.4499999999999997E-5</v>
      </c>
      <c r="AC44" s="26"/>
      <c r="AD44" s="25">
        <v>363</v>
      </c>
      <c r="AE44" s="27">
        <f t="shared" ca="1" si="14"/>
        <v>4.3333333333333335E-2</v>
      </c>
      <c r="AF44" s="27">
        <f t="shared" ca="1" si="15"/>
        <v>0.01</v>
      </c>
      <c r="AG44" s="22"/>
      <c r="AH44" s="6"/>
      <c r="AI44" s="28"/>
      <c r="AJ44" s="28"/>
      <c r="AK44" s="28"/>
      <c r="AL44" s="28"/>
      <c r="AM44" s="28"/>
      <c r="AN44" s="28"/>
    </row>
    <row r="45" spans="1:40" ht="15.75" x14ac:dyDescent="0.25">
      <c r="A45" s="2">
        <v>316</v>
      </c>
      <c r="B45" s="16">
        <f t="shared" ca="1" si="0"/>
        <v>0.04</v>
      </c>
      <c r="C45" s="16">
        <f t="shared" ca="1" si="1"/>
        <v>0.04</v>
      </c>
      <c r="D45" s="16">
        <f t="shared" ca="1" si="2"/>
        <v>0.05</v>
      </c>
      <c r="E45" s="16">
        <f t="shared" ca="1" si="3"/>
        <v>0.01</v>
      </c>
      <c r="F45" s="16">
        <f t="shared" ca="1" si="4"/>
        <v>0.01</v>
      </c>
      <c r="G45" s="16">
        <f t="shared" ca="1" si="5"/>
        <v>0.01</v>
      </c>
      <c r="H45" s="11"/>
      <c r="I45" s="2">
        <v>358</v>
      </c>
      <c r="J45" s="18">
        <v>4</v>
      </c>
      <c r="K45" s="18">
        <v>4</v>
      </c>
      <c r="L45" s="18">
        <v>5</v>
      </c>
      <c r="M45" s="18">
        <v>1</v>
      </c>
      <c r="N45" s="18">
        <v>1</v>
      </c>
      <c r="O45" s="18">
        <v>1</v>
      </c>
      <c r="P45" s="22">
        <v>385</v>
      </c>
      <c r="Q45" s="22">
        <f t="shared" ca="1" si="16"/>
        <v>0.04</v>
      </c>
      <c r="R45" s="22">
        <f t="shared" ca="1" si="17"/>
        <v>0.04</v>
      </c>
      <c r="S45" s="22">
        <f t="shared" ca="1" si="18"/>
        <v>0.05</v>
      </c>
      <c r="T45" s="22">
        <f t="shared" ca="1" si="19"/>
        <v>0.01</v>
      </c>
      <c r="U45" s="22">
        <f t="shared" ca="1" si="20"/>
        <v>0.01</v>
      </c>
      <c r="V45" s="22">
        <f t="shared" ca="1" si="21"/>
        <v>0.01</v>
      </c>
      <c r="W45" s="22"/>
      <c r="X45" s="25">
        <v>324</v>
      </c>
      <c r="Y45" s="26">
        <f t="shared" ca="1" si="12"/>
        <v>4.3333333333333335E-2</v>
      </c>
      <c r="Z45" s="26">
        <f t="shared" ca="1" si="13"/>
        <v>0.01</v>
      </c>
      <c r="AA45" s="26">
        <v>3.5999999999999999E-3</v>
      </c>
      <c r="AB45" s="26">
        <v>3.6100000000000003E-5</v>
      </c>
      <c r="AC45" s="26"/>
      <c r="AD45" s="25">
        <v>362</v>
      </c>
      <c r="AE45" s="27">
        <f t="shared" ca="1" si="14"/>
        <v>4.3333333333333335E-2</v>
      </c>
      <c r="AF45" s="27">
        <f t="shared" ca="1" si="15"/>
        <v>0.01</v>
      </c>
      <c r="AG45" s="22"/>
      <c r="AH45" s="6"/>
      <c r="AI45" s="28"/>
      <c r="AJ45" s="28"/>
      <c r="AK45" s="28"/>
      <c r="AL45" s="28"/>
      <c r="AM45" s="28"/>
      <c r="AN45" s="28"/>
    </row>
    <row r="46" spans="1:40" ht="15.75" x14ac:dyDescent="0.25">
      <c r="A46" s="2">
        <v>314</v>
      </c>
      <c r="B46" s="16">
        <f t="shared" ca="1" si="0"/>
        <v>0.04</v>
      </c>
      <c r="C46" s="16">
        <f t="shared" ca="1" si="1"/>
        <v>0.04</v>
      </c>
      <c r="D46" s="16">
        <f t="shared" ca="1" si="2"/>
        <v>0.05</v>
      </c>
      <c r="E46" s="16">
        <f t="shared" ca="1" si="3"/>
        <v>0.01</v>
      </c>
      <c r="F46" s="16">
        <f t="shared" ca="1" si="4"/>
        <v>0.01</v>
      </c>
      <c r="G46" s="16">
        <f t="shared" ca="1" si="5"/>
        <v>0.01</v>
      </c>
      <c r="H46" s="11"/>
      <c r="I46" s="2">
        <v>357</v>
      </c>
      <c r="J46" s="18">
        <v>4</v>
      </c>
      <c r="K46" s="18">
        <v>4</v>
      </c>
      <c r="L46" s="18">
        <v>5</v>
      </c>
      <c r="M46" s="18">
        <v>1</v>
      </c>
      <c r="N46" s="18">
        <v>1</v>
      </c>
      <c r="O46" s="18">
        <v>1</v>
      </c>
      <c r="P46" s="22">
        <v>384</v>
      </c>
      <c r="Q46" s="22">
        <f t="shared" ca="1" si="16"/>
        <v>0.04</v>
      </c>
      <c r="R46" s="22">
        <f t="shared" ca="1" si="17"/>
        <v>0.04</v>
      </c>
      <c r="S46" s="22">
        <f t="shared" ca="1" si="18"/>
        <v>0.05</v>
      </c>
      <c r="T46" s="22">
        <f t="shared" ca="1" si="19"/>
        <v>0.01</v>
      </c>
      <c r="U46" s="22">
        <f t="shared" ca="1" si="20"/>
        <v>0.01</v>
      </c>
      <c r="V46" s="22">
        <f t="shared" ca="1" si="21"/>
        <v>0.01</v>
      </c>
      <c r="W46" s="22"/>
      <c r="X46" s="25">
        <v>322</v>
      </c>
      <c r="Y46" s="26">
        <f t="shared" ca="1" si="12"/>
        <v>4.3333333333333335E-2</v>
      </c>
      <c r="Z46" s="26">
        <f t="shared" ca="1" si="13"/>
        <v>0.01</v>
      </c>
      <c r="AA46" s="26">
        <v>5.5500000000000002E-3</v>
      </c>
      <c r="AB46" s="26">
        <v>3.3200000000000001E-5</v>
      </c>
      <c r="AC46" s="26"/>
      <c r="AD46" s="25">
        <v>361</v>
      </c>
      <c r="AE46" s="27">
        <f t="shared" ca="1" si="14"/>
        <v>4.3333333333333335E-2</v>
      </c>
      <c r="AF46" s="27">
        <f t="shared" ca="1" si="15"/>
        <v>0.01</v>
      </c>
      <c r="AG46" s="22"/>
      <c r="AH46" s="6"/>
      <c r="AI46" s="28"/>
      <c r="AJ46" s="28"/>
      <c r="AK46" s="28"/>
      <c r="AL46" s="28"/>
      <c r="AM46" s="28"/>
      <c r="AN46" s="28"/>
    </row>
    <row r="47" spans="1:40" ht="15.75" x14ac:dyDescent="0.25">
      <c r="A47" s="2">
        <v>312</v>
      </c>
      <c r="B47" s="16">
        <f t="shared" ca="1" si="0"/>
        <v>0.04</v>
      </c>
      <c r="C47" s="16">
        <f t="shared" ca="1" si="1"/>
        <v>0.04</v>
      </c>
      <c r="D47" s="16">
        <f t="shared" ca="1" si="2"/>
        <v>0.05</v>
      </c>
      <c r="E47" s="16">
        <f t="shared" ca="1" si="3"/>
        <v>0.01</v>
      </c>
      <c r="F47" s="16">
        <f t="shared" ca="1" si="4"/>
        <v>0.01</v>
      </c>
      <c r="G47" s="16">
        <f t="shared" ca="1" si="5"/>
        <v>0.01</v>
      </c>
      <c r="H47" s="11"/>
      <c r="I47" s="2">
        <v>356</v>
      </c>
      <c r="J47" s="18">
        <v>4</v>
      </c>
      <c r="K47" s="18">
        <v>4</v>
      </c>
      <c r="L47" s="18">
        <v>5</v>
      </c>
      <c r="M47" s="18">
        <v>1</v>
      </c>
      <c r="N47" s="18">
        <v>1</v>
      </c>
      <c r="O47" s="18">
        <v>1</v>
      </c>
      <c r="P47" s="22">
        <v>383</v>
      </c>
      <c r="Q47" s="22">
        <f t="shared" ca="1" si="16"/>
        <v>0.04</v>
      </c>
      <c r="R47" s="22">
        <f t="shared" ca="1" si="17"/>
        <v>0.04</v>
      </c>
      <c r="S47" s="22">
        <f t="shared" ca="1" si="18"/>
        <v>0.05</v>
      </c>
      <c r="T47" s="22">
        <f t="shared" ca="1" si="19"/>
        <v>0.01</v>
      </c>
      <c r="U47" s="22">
        <f t="shared" ca="1" si="20"/>
        <v>0.01</v>
      </c>
      <c r="V47" s="22">
        <f t="shared" ca="1" si="21"/>
        <v>0.01</v>
      </c>
      <c r="W47" s="22"/>
      <c r="X47" s="25">
        <v>320</v>
      </c>
      <c r="Y47" s="26">
        <f t="shared" ca="1" si="12"/>
        <v>4.3333333333333335E-2</v>
      </c>
      <c r="Z47" s="26">
        <f t="shared" ca="1" si="13"/>
        <v>0.01</v>
      </c>
      <c r="AA47" s="26">
        <v>8.5500000000000003E-3</v>
      </c>
      <c r="AB47" s="26">
        <v>3.1399999999999998E-5</v>
      </c>
      <c r="AC47" s="26"/>
      <c r="AD47" s="25">
        <v>360</v>
      </c>
      <c r="AE47" s="27">
        <f t="shared" ca="1" si="14"/>
        <v>4.3333333333333335E-2</v>
      </c>
      <c r="AF47" s="27">
        <f t="shared" ca="1" si="15"/>
        <v>0.01</v>
      </c>
      <c r="AG47" s="22"/>
      <c r="AH47" s="6"/>
      <c r="AI47" s="28"/>
      <c r="AJ47" s="28"/>
      <c r="AK47" s="28"/>
      <c r="AL47" s="28"/>
      <c r="AM47" s="28"/>
      <c r="AN47" s="28"/>
    </row>
    <row r="48" spans="1:40" ht="15.75" x14ac:dyDescent="0.25">
      <c r="A48" s="2">
        <v>310</v>
      </c>
      <c r="B48" s="16">
        <f t="shared" ca="1" si="0"/>
        <v>0.04</v>
      </c>
      <c r="C48" s="16">
        <f t="shared" ca="1" si="1"/>
        <v>0.04</v>
      </c>
      <c r="D48" s="16">
        <f t="shared" ca="1" si="2"/>
        <v>0.05</v>
      </c>
      <c r="E48" s="16">
        <f t="shared" ca="1" si="3"/>
        <v>0.01</v>
      </c>
      <c r="F48" s="16">
        <f t="shared" ca="1" si="4"/>
        <v>0.01</v>
      </c>
      <c r="G48" s="16">
        <f t="shared" ca="1" si="5"/>
        <v>0.01</v>
      </c>
      <c r="H48" s="11"/>
      <c r="I48" s="2">
        <v>355</v>
      </c>
      <c r="J48" s="18">
        <v>4</v>
      </c>
      <c r="K48" s="18">
        <v>4</v>
      </c>
      <c r="L48" s="18">
        <v>5</v>
      </c>
      <c r="M48" s="18">
        <v>1</v>
      </c>
      <c r="N48" s="18">
        <v>1</v>
      </c>
      <c r="O48" s="18">
        <v>1</v>
      </c>
      <c r="P48" s="22">
        <v>382</v>
      </c>
      <c r="Q48" s="22">
        <f t="shared" ca="1" si="16"/>
        <v>0.04</v>
      </c>
      <c r="R48" s="22">
        <f t="shared" ca="1" si="17"/>
        <v>0.04</v>
      </c>
      <c r="S48" s="22">
        <f t="shared" ca="1" si="18"/>
        <v>0.05</v>
      </c>
      <c r="T48" s="22">
        <f t="shared" ca="1" si="19"/>
        <v>0.01</v>
      </c>
      <c r="U48" s="22">
        <f t="shared" ca="1" si="20"/>
        <v>0.01</v>
      </c>
      <c r="V48" s="22">
        <f t="shared" ca="1" si="21"/>
        <v>0.01</v>
      </c>
      <c r="W48" s="22"/>
      <c r="X48" s="25">
        <v>318</v>
      </c>
      <c r="Y48" s="26">
        <f t="shared" ca="1" si="12"/>
        <v>4.3333333333333335E-2</v>
      </c>
      <c r="Z48" s="26">
        <f t="shared" ca="1" si="13"/>
        <v>0.01</v>
      </c>
      <c r="AA48" s="26">
        <v>1.32E-2</v>
      </c>
      <c r="AB48" s="26">
        <v>2.7900000000000001E-5</v>
      </c>
      <c r="AC48" s="26"/>
      <c r="AD48" s="25">
        <v>359</v>
      </c>
      <c r="AE48" s="27">
        <f t="shared" ca="1" si="14"/>
        <v>4.3333333333333335E-2</v>
      </c>
      <c r="AF48" s="27">
        <f t="shared" ca="1" si="15"/>
        <v>0.01</v>
      </c>
      <c r="AG48" s="22"/>
      <c r="AH48" s="6"/>
      <c r="AI48" s="28"/>
      <c r="AJ48" s="28"/>
      <c r="AK48" s="28"/>
      <c r="AL48" s="28"/>
      <c r="AM48" s="28"/>
      <c r="AN48" s="28"/>
    </row>
    <row r="49" spans="1:40" ht="15.75" x14ac:dyDescent="0.25">
      <c r="A49" s="2">
        <v>308</v>
      </c>
      <c r="B49" s="16">
        <f t="shared" ca="1" si="0"/>
        <v>0.04</v>
      </c>
      <c r="C49" s="16">
        <f t="shared" ca="1" si="1"/>
        <v>0.04</v>
      </c>
      <c r="D49" s="16">
        <f t="shared" ca="1" si="2"/>
        <v>0.05</v>
      </c>
      <c r="E49" s="16">
        <f t="shared" ca="1" si="3"/>
        <v>0.01</v>
      </c>
      <c r="F49" s="16">
        <f t="shared" ca="1" si="4"/>
        <v>0.01</v>
      </c>
      <c r="G49" s="16">
        <f t="shared" ca="1" si="5"/>
        <v>0.01</v>
      </c>
      <c r="H49" s="11"/>
      <c r="I49" s="2">
        <v>354</v>
      </c>
      <c r="J49" s="18">
        <v>4</v>
      </c>
      <c r="K49" s="18">
        <v>4</v>
      </c>
      <c r="L49" s="18">
        <v>5</v>
      </c>
      <c r="M49" s="18">
        <v>1</v>
      </c>
      <c r="N49" s="18">
        <v>1</v>
      </c>
      <c r="O49" s="18">
        <v>1</v>
      </c>
      <c r="P49" s="22">
        <v>381</v>
      </c>
      <c r="Q49" s="22">
        <f t="shared" ca="1" si="16"/>
        <v>0.04</v>
      </c>
      <c r="R49" s="22">
        <f t="shared" ca="1" si="17"/>
        <v>0.04</v>
      </c>
      <c r="S49" s="22">
        <f t="shared" ca="1" si="18"/>
        <v>0.05</v>
      </c>
      <c r="T49" s="22">
        <f t="shared" ca="1" si="19"/>
        <v>0.01</v>
      </c>
      <c r="U49" s="22">
        <f t="shared" ca="1" si="20"/>
        <v>0.01</v>
      </c>
      <c r="V49" s="22">
        <f t="shared" ca="1" si="21"/>
        <v>0.01</v>
      </c>
      <c r="W49" s="22"/>
      <c r="X49" s="25">
        <v>316</v>
      </c>
      <c r="Y49" s="26">
        <f t="shared" ca="1" si="12"/>
        <v>4.3333333333333335E-2</v>
      </c>
      <c r="Z49" s="26">
        <f t="shared" ca="1" si="13"/>
        <v>0.01</v>
      </c>
      <c r="AA49" s="26">
        <v>2.0299999999999999E-2</v>
      </c>
      <c r="AB49" s="26">
        <v>2.4300000000000001E-5</v>
      </c>
      <c r="AC49" s="26"/>
      <c r="AD49" s="25">
        <v>358</v>
      </c>
      <c r="AE49" s="27">
        <f t="shared" ca="1" si="14"/>
        <v>4.3333333333333335E-2</v>
      </c>
      <c r="AF49" s="27">
        <f t="shared" ca="1" si="15"/>
        <v>0.01</v>
      </c>
      <c r="AG49" s="22"/>
      <c r="AH49" s="6"/>
      <c r="AI49" s="28"/>
      <c r="AJ49" s="28"/>
      <c r="AK49" s="28"/>
      <c r="AL49" s="28"/>
      <c r="AM49" s="28"/>
      <c r="AN49" s="28"/>
    </row>
    <row r="50" spans="1:40" ht="15.75" x14ac:dyDescent="0.25">
      <c r="A50" s="2">
        <v>306</v>
      </c>
      <c r="B50" s="16">
        <f t="shared" ca="1" si="0"/>
        <v>0.04</v>
      </c>
      <c r="C50" s="16">
        <f t="shared" ca="1" si="1"/>
        <v>0.04</v>
      </c>
      <c r="D50" s="16">
        <f t="shared" ca="1" si="2"/>
        <v>0.05</v>
      </c>
      <c r="E50" s="16">
        <f t="shared" ca="1" si="3"/>
        <v>0.01</v>
      </c>
      <c r="F50" s="16">
        <f t="shared" ca="1" si="4"/>
        <v>0.01</v>
      </c>
      <c r="G50" s="16">
        <f t="shared" ca="1" si="5"/>
        <v>0.01</v>
      </c>
      <c r="H50" s="11"/>
      <c r="I50" s="2">
        <v>353</v>
      </c>
      <c r="J50" s="18">
        <v>4</v>
      </c>
      <c r="K50" s="18">
        <v>4</v>
      </c>
      <c r="L50" s="18">
        <v>5</v>
      </c>
      <c r="M50" s="18">
        <v>1</v>
      </c>
      <c r="N50" s="18">
        <v>1</v>
      </c>
      <c r="O50" s="18">
        <v>1</v>
      </c>
      <c r="P50" s="22">
        <v>380</v>
      </c>
      <c r="Q50" s="22">
        <f t="shared" ca="1" si="16"/>
        <v>0.04</v>
      </c>
      <c r="R50" s="22">
        <f t="shared" ca="1" si="17"/>
        <v>0.04</v>
      </c>
      <c r="S50" s="22">
        <f t="shared" ca="1" si="18"/>
        <v>0.05</v>
      </c>
      <c r="T50" s="22">
        <f t="shared" ca="1" si="19"/>
        <v>0.01</v>
      </c>
      <c r="U50" s="22">
        <f t="shared" ca="1" si="20"/>
        <v>0.01</v>
      </c>
      <c r="V50" s="22">
        <f t="shared" ca="1" si="21"/>
        <v>0.01</v>
      </c>
      <c r="W50" s="22"/>
      <c r="X50" s="25">
        <v>314</v>
      </c>
      <c r="Y50" s="26">
        <f t="shared" ca="1" si="12"/>
        <v>4.3333333333333335E-2</v>
      </c>
      <c r="Z50" s="26">
        <f t="shared" ca="1" si="13"/>
        <v>0.01</v>
      </c>
      <c r="AA50" s="26">
        <v>3.1300000000000001E-2</v>
      </c>
      <c r="AB50" s="26">
        <v>2.1299999999999999E-5</v>
      </c>
      <c r="AC50" s="26"/>
      <c r="AD50" s="25">
        <v>357</v>
      </c>
      <c r="AE50" s="27">
        <f t="shared" ca="1" si="14"/>
        <v>4.3333333333333335E-2</v>
      </c>
      <c r="AF50" s="27">
        <f t="shared" ca="1" si="15"/>
        <v>0.01</v>
      </c>
      <c r="AG50" s="22"/>
      <c r="AH50" s="6"/>
      <c r="AI50" s="28"/>
      <c r="AJ50" s="28"/>
      <c r="AK50" s="28"/>
      <c r="AL50" s="28"/>
      <c r="AM50" s="28"/>
      <c r="AN50" s="28"/>
    </row>
    <row r="51" spans="1:40" ht="15.75" x14ac:dyDescent="0.25">
      <c r="A51" s="2">
        <v>304</v>
      </c>
      <c r="B51" s="16">
        <f t="shared" ca="1" si="0"/>
        <v>0.04</v>
      </c>
      <c r="C51" s="16">
        <f t="shared" ca="1" si="1"/>
        <v>0.04</v>
      </c>
      <c r="D51" s="16">
        <f t="shared" ca="1" si="2"/>
        <v>0.05</v>
      </c>
      <c r="E51" s="16">
        <f t="shared" ca="1" si="3"/>
        <v>0.01</v>
      </c>
      <c r="F51" s="16">
        <f t="shared" ca="1" si="4"/>
        <v>0.01</v>
      </c>
      <c r="G51" s="16">
        <f t="shared" ca="1" si="5"/>
        <v>0.01</v>
      </c>
      <c r="H51" s="11"/>
      <c r="I51" s="2">
        <v>352</v>
      </c>
      <c r="J51" s="18">
        <v>4</v>
      </c>
      <c r="K51" s="18">
        <v>4</v>
      </c>
      <c r="L51" s="18">
        <v>5</v>
      </c>
      <c r="M51" s="18">
        <v>1</v>
      </c>
      <c r="N51" s="18">
        <v>1</v>
      </c>
      <c r="O51" s="18">
        <v>1</v>
      </c>
      <c r="P51" s="22">
        <v>379</v>
      </c>
      <c r="Q51" s="22">
        <f t="shared" ca="1" si="16"/>
        <v>0.04</v>
      </c>
      <c r="R51" s="22">
        <f t="shared" ca="1" si="17"/>
        <v>0.04</v>
      </c>
      <c r="S51" s="22">
        <f t="shared" ca="1" si="18"/>
        <v>0.05</v>
      </c>
      <c r="T51" s="22">
        <f t="shared" ca="1" si="19"/>
        <v>0.01</v>
      </c>
      <c r="U51" s="22">
        <f t="shared" ca="1" si="20"/>
        <v>0.01</v>
      </c>
      <c r="V51" s="22">
        <f t="shared" ca="1" si="21"/>
        <v>0.01</v>
      </c>
      <c r="W51" s="22"/>
      <c r="X51" s="25">
        <v>312</v>
      </c>
      <c r="Y51" s="26">
        <f t="shared" ca="1" si="12"/>
        <v>4.3333333333333335E-2</v>
      </c>
      <c r="Z51" s="26">
        <f t="shared" ca="1" si="13"/>
        <v>0.01</v>
      </c>
      <c r="AA51" s="26">
        <v>4.8300000000000003E-2</v>
      </c>
      <c r="AB51" s="26">
        <v>1.7499999999999998E-5</v>
      </c>
      <c r="AC51" s="26"/>
      <c r="AD51" s="25">
        <v>356</v>
      </c>
      <c r="AE51" s="27">
        <f t="shared" ca="1" si="14"/>
        <v>4.3333333333333335E-2</v>
      </c>
      <c r="AF51" s="27">
        <f t="shared" ca="1" si="15"/>
        <v>0.01</v>
      </c>
      <c r="AG51" s="22"/>
      <c r="AH51" s="6"/>
      <c r="AI51" s="28"/>
      <c r="AJ51" s="28"/>
      <c r="AK51" s="28"/>
      <c r="AL51" s="28"/>
      <c r="AM51" s="28"/>
      <c r="AN51" s="28"/>
    </row>
    <row r="52" spans="1:40" ht="15.75" x14ac:dyDescent="0.25">
      <c r="A52" s="2">
        <v>302</v>
      </c>
      <c r="B52" s="16">
        <f t="shared" ca="1" si="0"/>
        <v>0.04</v>
      </c>
      <c r="C52" s="16">
        <f t="shared" ca="1" si="1"/>
        <v>0.04</v>
      </c>
      <c r="D52" s="16">
        <f t="shared" ca="1" si="2"/>
        <v>0.05</v>
      </c>
      <c r="E52" s="16">
        <f t="shared" ca="1" si="3"/>
        <v>0.01</v>
      </c>
      <c r="F52" s="16">
        <f t="shared" ca="1" si="4"/>
        <v>0.01</v>
      </c>
      <c r="G52" s="16">
        <f t="shared" ca="1" si="5"/>
        <v>0.01</v>
      </c>
      <c r="H52" s="11"/>
      <c r="I52" s="2">
        <v>351</v>
      </c>
      <c r="J52" s="18">
        <v>4</v>
      </c>
      <c r="K52" s="18">
        <v>4</v>
      </c>
      <c r="L52" s="18">
        <v>5</v>
      </c>
      <c r="M52" s="18">
        <v>1</v>
      </c>
      <c r="N52" s="18">
        <v>1</v>
      </c>
      <c r="O52" s="18">
        <v>1</v>
      </c>
      <c r="P52" s="22">
        <v>378</v>
      </c>
      <c r="Q52" s="22">
        <f t="shared" ca="1" si="16"/>
        <v>0.04</v>
      </c>
      <c r="R52" s="22">
        <f t="shared" ca="1" si="17"/>
        <v>0.04</v>
      </c>
      <c r="S52" s="22">
        <f t="shared" ca="1" si="18"/>
        <v>0.05</v>
      </c>
      <c r="T52" s="22">
        <f t="shared" ca="1" si="19"/>
        <v>0.01</v>
      </c>
      <c r="U52" s="22">
        <f t="shared" ca="1" si="20"/>
        <v>0.01</v>
      </c>
      <c r="V52" s="22">
        <f t="shared" ca="1" si="21"/>
        <v>0.01</v>
      </c>
      <c r="W52" s="22"/>
      <c r="X52" s="25">
        <v>310</v>
      </c>
      <c r="Y52" s="26">
        <f t="shared" ca="1" si="12"/>
        <v>4.3333333333333335E-2</v>
      </c>
      <c r="Z52" s="26">
        <f t="shared" ca="1" si="13"/>
        <v>0.01</v>
      </c>
      <c r="AA52" s="26">
        <v>7.4499999999999997E-2</v>
      </c>
      <c r="AB52" s="26">
        <v>1.34E-5</v>
      </c>
      <c r="AC52" s="26"/>
      <c r="AD52" s="25">
        <v>355</v>
      </c>
      <c r="AE52" s="27">
        <f t="shared" ca="1" si="14"/>
        <v>4.3333333333333335E-2</v>
      </c>
      <c r="AF52" s="27">
        <f t="shared" ca="1" si="15"/>
        <v>0.01</v>
      </c>
      <c r="AG52" s="22"/>
      <c r="AH52" s="6"/>
      <c r="AI52" s="28"/>
      <c r="AJ52" s="28"/>
      <c r="AK52" s="28"/>
      <c r="AL52" s="28"/>
      <c r="AM52" s="28"/>
      <c r="AN52" s="28"/>
    </row>
    <row r="53" spans="1:40" ht="15.75" x14ac:dyDescent="0.25">
      <c r="A53" s="2">
        <v>300</v>
      </c>
      <c r="B53" s="16">
        <f t="shared" ca="1" si="0"/>
        <v>0.04</v>
      </c>
      <c r="C53" s="16">
        <f t="shared" ca="1" si="1"/>
        <v>0.04</v>
      </c>
      <c r="D53" s="16">
        <f t="shared" ca="1" si="2"/>
        <v>0.05</v>
      </c>
      <c r="E53" s="16">
        <f t="shared" ca="1" si="3"/>
        <v>0.01</v>
      </c>
      <c r="F53" s="16">
        <f t="shared" ca="1" si="4"/>
        <v>0.01</v>
      </c>
      <c r="G53" s="16">
        <f t="shared" ca="1" si="5"/>
        <v>0.01</v>
      </c>
      <c r="H53" s="11"/>
      <c r="I53" s="2">
        <v>350</v>
      </c>
      <c r="J53" s="18">
        <v>4</v>
      </c>
      <c r="K53" s="18">
        <v>4</v>
      </c>
      <c r="L53" s="18">
        <v>5</v>
      </c>
      <c r="M53" s="18">
        <v>-3</v>
      </c>
      <c r="N53" s="18">
        <v>-3</v>
      </c>
      <c r="O53" s="18">
        <v>-3</v>
      </c>
      <c r="P53" s="22">
        <v>377</v>
      </c>
      <c r="Q53" s="22">
        <f t="shared" ca="1" si="16"/>
        <v>0.04</v>
      </c>
      <c r="R53" s="22">
        <f t="shared" ca="1" si="17"/>
        <v>0.04</v>
      </c>
      <c r="S53" s="22">
        <f t="shared" ca="1" si="18"/>
        <v>0.05</v>
      </c>
      <c r="T53" s="22">
        <f t="shared" ca="1" si="19"/>
        <v>0.01</v>
      </c>
      <c r="U53" s="22">
        <f t="shared" ca="1" si="20"/>
        <v>0.01</v>
      </c>
      <c r="V53" s="22">
        <f t="shared" ca="1" si="21"/>
        <v>0.01</v>
      </c>
      <c r="W53" s="22"/>
      <c r="X53" s="25">
        <v>308</v>
      </c>
      <c r="Y53" s="26">
        <f t="shared" ca="1" si="12"/>
        <v>4.3333333333333335E-2</v>
      </c>
      <c r="Z53" s="26">
        <f t="shared" ca="1" si="13"/>
        <v>0.01</v>
      </c>
      <c r="AA53" s="26">
        <v>0.115</v>
      </c>
      <c r="AB53" s="26">
        <v>9.6800000000000005E-6</v>
      </c>
      <c r="AC53" s="26"/>
      <c r="AD53" s="25">
        <v>354</v>
      </c>
      <c r="AE53" s="27">
        <f t="shared" ca="1" si="14"/>
        <v>4.3333333333333335E-2</v>
      </c>
      <c r="AF53" s="27">
        <f t="shared" ca="1" si="15"/>
        <v>0.01</v>
      </c>
      <c r="AG53" s="22"/>
      <c r="AH53" s="6"/>
      <c r="AI53" s="28"/>
      <c r="AJ53" s="28"/>
      <c r="AK53" s="28"/>
      <c r="AL53" s="28"/>
      <c r="AM53" s="28"/>
      <c r="AN53" s="28"/>
    </row>
    <row r="54" spans="1:40" ht="15.75" x14ac:dyDescent="0.25">
      <c r="A54" s="2">
        <v>298</v>
      </c>
      <c r="B54" s="16">
        <f t="shared" ca="1" si="0"/>
        <v>0.04</v>
      </c>
      <c r="C54" s="16">
        <f t="shared" ca="1" si="1"/>
        <v>0.04</v>
      </c>
      <c r="D54" s="16">
        <f t="shared" ca="1" si="2"/>
        <v>0.05</v>
      </c>
      <c r="E54" s="16">
        <f t="shared" ca="1" si="3"/>
        <v>0.01</v>
      </c>
      <c r="F54" s="16">
        <f t="shared" ca="1" si="4"/>
        <v>0.01</v>
      </c>
      <c r="G54" s="16">
        <f t="shared" ca="1" si="5"/>
        <v>0.01</v>
      </c>
      <c r="H54" s="11"/>
      <c r="I54" s="2">
        <v>349</v>
      </c>
      <c r="J54" s="18">
        <v>4</v>
      </c>
      <c r="K54" s="18">
        <v>4</v>
      </c>
      <c r="L54" s="18">
        <v>5</v>
      </c>
      <c r="M54" s="18">
        <v>1</v>
      </c>
      <c r="N54" s="18">
        <v>1</v>
      </c>
      <c r="O54" s="18">
        <v>1</v>
      </c>
      <c r="P54" s="22">
        <v>376</v>
      </c>
      <c r="Q54" s="22">
        <f t="shared" ca="1" si="16"/>
        <v>0.04</v>
      </c>
      <c r="R54" s="22">
        <f t="shared" ca="1" si="17"/>
        <v>0.04</v>
      </c>
      <c r="S54" s="22">
        <f t="shared" ca="1" si="18"/>
        <v>0.05</v>
      </c>
      <c r="T54" s="22">
        <f t="shared" ca="1" si="19"/>
        <v>0.01</v>
      </c>
      <c r="U54" s="22">
        <f t="shared" ca="1" si="20"/>
        <v>0.01</v>
      </c>
      <c r="V54" s="22">
        <f t="shared" ca="1" si="21"/>
        <v>0.01</v>
      </c>
      <c r="W54" s="22"/>
      <c r="X54" s="25">
        <v>306</v>
      </c>
      <c r="Y54" s="26">
        <f t="shared" ca="1" si="12"/>
        <v>4.3333333333333335E-2</v>
      </c>
      <c r="Z54" s="26">
        <f t="shared" ca="1" si="13"/>
        <v>0.01</v>
      </c>
      <c r="AA54" s="26">
        <v>0.17699999999999999</v>
      </c>
      <c r="AB54" s="26">
        <v>7.1899999999999998E-6</v>
      </c>
      <c r="AC54" s="26"/>
      <c r="AD54" s="25">
        <v>353</v>
      </c>
      <c r="AE54" s="27">
        <f t="shared" ca="1" si="14"/>
        <v>4.3333333333333335E-2</v>
      </c>
      <c r="AF54" s="27">
        <f t="shared" ca="1" si="15"/>
        <v>0.01</v>
      </c>
      <c r="AG54" s="22"/>
      <c r="AH54" s="6"/>
      <c r="AI54" s="28"/>
      <c r="AJ54" s="28"/>
      <c r="AK54" s="28"/>
      <c r="AL54" s="28"/>
      <c r="AM54" s="28"/>
      <c r="AN54" s="28"/>
    </row>
    <row r="55" spans="1:40" ht="15.75" x14ac:dyDescent="0.25">
      <c r="A55" s="2">
        <v>296</v>
      </c>
      <c r="B55" s="16">
        <f t="shared" ca="1" si="0"/>
        <v>0.04</v>
      </c>
      <c r="C55" s="16">
        <f t="shared" ca="1" si="1"/>
        <v>0.04</v>
      </c>
      <c r="D55" s="16">
        <f t="shared" ca="1" si="2"/>
        <v>0.05</v>
      </c>
      <c r="E55" s="16">
        <f t="shared" ca="1" si="3"/>
        <v>0.01</v>
      </c>
      <c r="F55" s="16">
        <f t="shared" ca="1" si="4"/>
        <v>0.01</v>
      </c>
      <c r="G55" s="16">
        <f t="shared" ca="1" si="5"/>
        <v>0.01</v>
      </c>
      <c r="H55" s="11"/>
      <c r="I55" s="2">
        <v>348</v>
      </c>
      <c r="J55" s="18">
        <v>4</v>
      </c>
      <c r="K55" s="18">
        <v>4</v>
      </c>
      <c r="L55" s="18">
        <v>5</v>
      </c>
      <c r="M55" s="18">
        <v>1</v>
      </c>
      <c r="N55" s="18">
        <v>1</v>
      </c>
      <c r="O55" s="18">
        <v>1</v>
      </c>
      <c r="P55" s="22">
        <v>375</v>
      </c>
      <c r="Q55" s="22">
        <f t="shared" ca="1" si="16"/>
        <v>0.04</v>
      </c>
      <c r="R55" s="22">
        <f t="shared" ca="1" si="17"/>
        <v>0.04</v>
      </c>
      <c r="S55" s="22">
        <f t="shared" ca="1" si="18"/>
        <v>0.05</v>
      </c>
      <c r="T55" s="22">
        <f t="shared" ca="1" si="19"/>
        <v>0.01</v>
      </c>
      <c r="U55" s="22">
        <f t="shared" ca="1" si="20"/>
        <v>0.01</v>
      </c>
      <c r="V55" s="22">
        <f t="shared" ca="1" si="21"/>
        <v>0.01</v>
      </c>
      <c r="W55" s="22"/>
      <c r="X55" s="25">
        <v>304</v>
      </c>
      <c r="Y55" s="26">
        <f t="shared" ca="1" si="12"/>
        <v>4.3333333333333335E-2</v>
      </c>
      <c r="Z55" s="26">
        <f t="shared" ca="1" si="13"/>
        <v>0.01</v>
      </c>
      <c r="AA55" s="26">
        <v>0.27300000000000002</v>
      </c>
      <c r="AB55" s="26">
        <v>4.3499999999999999E-6</v>
      </c>
      <c r="AC55" s="26"/>
      <c r="AD55" s="25">
        <v>352</v>
      </c>
      <c r="AE55" s="27">
        <f t="shared" ca="1" si="14"/>
        <v>4.3333333333333335E-2</v>
      </c>
      <c r="AF55" s="27">
        <f t="shared" ca="1" si="15"/>
        <v>0.01</v>
      </c>
      <c r="AG55" s="22"/>
      <c r="AH55" s="6"/>
      <c r="AI55" s="28"/>
      <c r="AJ55" s="28"/>
      <c r="AK55" s="28"/>
      <c r="AL55" s="28"/>
      <c r="AM55" s="28"/>
      <c r="AN55" s="28"/>
    </row>
    <row r="56" spans="1:40" ht="15.75" x14ac:dyDescent="0.25">
      <c r="A56" s="2">
        <v>294</v>
      </c>
      <c r="B56" s="16">
        <f t="shared" ca="1" si="0"/>
        <v>0.04</v>
      </c>
      <c r="C56" s="16">
        <f t="shared" ca="1" si="1"/>
        <v>0.04</v>
      </c>
      <c r="D56" s="16">
        <f t="shared" ca="1" si="2"/>
        <v>0.05</v>
      </c>
      <c r="E56" s="16">
        <f t="shared" ca="1" si="3"/>
        <v>0.01</v>
      </c>
      <c r="F56" s="16">
        <f t="shared" ca="1" si="4"/>
        <v>0.01</v>
      </c>
      <c r="G56" s="16">
        <f t="shared" ca="1" si="5"/>
        <v>0.01</v>
      </c>
      <c r="H56" s="11"/>
      <c r="I56" s="2">
        <v>347</v>
      </c>
      <c r="J56" s="18">
        <v>4</v>
      </c>
      <c r="K56" s="18">
        <v>4</v>
      </c>
      <c r="L56" s="18">
        <v>5</v>
      </c>
      <c r="M56" s="18">
        <v>1</v>
      </c>
      <c r="N56" s="18">
        <v>1</v>
      </c>
      <c r="O56" s="18">
        <v>1</v>
      </c>
      <c r="P56" s="22">
        <v>374</v>
      </c>
      <c r="Q56" s="22">
        <f t="shared" ca="1" si="16"/>
        <v>0.04</v>
      </c>
      <c r="R56" s="22">
        <f t="shared" ca="1" si="17"/>
        <v>0.04</v>
      </c>
      <c r="S56" s="22">
        <f t="shared" ca="1" si="18"/>
        <v>0.05</v>
      </c>
      <c r="T56" s="22">
        <f t="shared" ca="1" si="19"/>
        <v>0.01</v>
      </c>
      <c r="U56" s="22">
        <f t="shared" ca="1" si="20"/>
        <v>0.01</v>
      </c>
      <c r="V56" s="22">
        <f t="shared" ca="1" si="21"/>
        <v>0.01</v>
      </c>
      <c r="W56" s="22"/>
      <c r="X56" s="25">
        <v>302</v>
      </c>
      <c r="Y56" s="26">
        <f t="shared" ca="1" si="12"/>
        <v>4.3333333333333335E-2</v>
      </c>
      <c r="Z56" s="26">
        <f t="shared" ca="1" si="13"/>
        <v>0.01</v>
      </c>
      <c r="AA56" s="26">
        <v>0.42099999999999999</v>
      </c>
      <c r="AB56" s="26">
        <v>2.3599999999999999E-6</v>
      </c>
      <c r="AC56" s="26"/>
      <c r="AD56" s="25">
        <v>351</v>
      </c>
      <c r="AE56" s="27">
        <f t="shared" ca="1" si="14"/>
        <v>4.3333333333333335E-2</v>
      </c>
      <c r="AF56" s="27">
        <f t="shared" ca="1" si="15"/>
        <v>0.01</v>
      </c>
      <c r="AG56" s="22"/>
      <c r="AH56" s="6"/>
      <c r="AI56" s="28"/>
      <c r="AJ56" s="28"/>
      <c r="AK56" s="28"/>
      <c r="AL56" s="28"/>
      <c r="AM56" s="28"/>
      <c r="AN56" s="28"/>
    </row>
    <row r="57" spans="1:40" ht="15.75" x14ac:dyDescent="0.25">
      <c r="A57" s="2">
        <v>292</v>
      </c>
      <c r="B57" s="16">
        <f t="shared" ca="1" si="0"/>
        <v>0.04</v>
      </c>
      <c r="C57" s="16">
        <f t="shared" ca="1" si="1"/>
        <v>0.04</v>
      </c>
      <c r="D57" s="16">
        <f t="shared" ca="1" si="2"/>
        <v>0.05</v>
      </c>
      <c r="E57" s="16">
        <f t="shared" ca="1" si="3"/>
        <v>0.01</v>
      </c>
      <c r="F57" s="16">
        <f t="shared" ca="1" si="4"/>
        <v>0.01</v>
      </c>
      <c r="G57" s="16">
        <f t="shared" ca="1" si="5"/>
        <v>0.01</v>
      </c>
      <c r="H57" s="11"/>
      <c r="I57" s="2">
        <v>346</v>
      </c>
      <c r="J57" s="18">
        <v>4</v>
      </c>
      <c r="K57" s="18">
        <v>4</v>
      </c>
      <c r="L57" s="18">
        <v>5</v>
      </c>
      <c r="M57" s="18">
        <v>1</v>
      </c>
      <c r="N57" s="18">
        <v>1</v>
      </c>
      <c r="O57" s="18">
        <v>1</v>
      </c>
      <c r="P57" s="22">
        <v>373</v>
      </c>
      <c r="Q57" s="22">
        <f t="shared" ca="1" si="16"/>
        <v>0.04</v>
      </c>
      <c r="R57" s="22">
        <f t="shared" ca="1" si="17"/>
        <v>0.04</v>
      </c>
      <c r="S57" s="22">
        <f t="shared" ca="1" si="18"/>
        <v>0.05</v>
      </c>
      <c r="T57" s="22">
        <f t="shared" ca="1" si="19"/>
        <v>0.01</v>
      </c>
      <c r="U57" s="22">
        <f t="shared" ca="1" si="20"/>
        <v>0.01</v>
      </c>
      <c r="V57" s="22">
        <f t="shared" ca="1" si="21"/>
        <v>0.01</v>
      </c>
      <c r="W57" s="22"/>
      <c r="X57" s="25">
        <v>300</v>
      </c>
      <c r="Y57" s="26">
        <f t="shared" ca="1" si="12"/>
        <v>4.3333333333333335E-2</v>
      </c>
      <c r="Z57" s="26">
        <f t="shared" ca="1" si="13"/>
        <v>0.01</v>
      </c>
      <c r="AA57" s="26">
        <v>0.64900000000000002</v>
      </c>
      <c r="AB57" s="26">
        <v>8.6400000000000001E-7</v>
      </c>
      <c r="AC57" s="26"/>
      <c r="AD57" s="25">
        <v>350</v>
      </c>
      <c r="AE57" s="27">
        <f t="shared" ca="1" si="14"/>
        <v>4.3333333333333335E-2</v>
      </c>
      <c r="AF57" s="27">
        <f t="shared" ca="1" si="15"/>
        <v>0</v>
      </c>
      <c r="AG57" s="22"/>
      <c r="AH57" s="6"/>
      <c r="AI57" s="28"/>
      <c r="AJ57" s="28"/>
      <c r="AK57" s="28"/>
      <c r="AL57" s="28"/>
      <c r="AM57" s="28"/>
      <c r="AN57" s="28"/>
    </row>
    <row r="58" spans="1:40" ht="15.75" x14ac:dyDescent="0.25">
      <c r="A58" s="2">
        <v>290</v>
      </c>
      <c r="B58" s="16">
        <f t="shared" ca="1" si="0"/>
        <v>0.04</v>
      </c>
      <c r="C58" s="16">
        <f t="shared" ca="1" si="1"/>
        <v>0.04</v>
      </c>
      <c r="D58" s="16">
        <f t="shared" ca="1" si="2"/>
        <v>0.05</v>
      </c>
      <c r="E58" s="16">
        <f t="shared" ca="1" si="3"/>
        <v>0.01</v>
      </c>
      <c r="F58" s="16">
        <f t="shared" ca="1" si="4"/>
        <v>0.01</v>
      </c>
      <c r="G58" s="16">
        <f t="shared" ca="1" si="5"/>
        <v>0.01</v>
      </c>
      <c r="H58" s="11"/>
      <c r="I58" s="2">
        <v>345</v>
      </c>
      <c r="J58" s="18">
        <v>4</v>
      </c>
      <c r="K58" s="18">
        <v>4</v>
      </c>
      <c r="L58" s="18">
        <v>5</v>
      </c>
      <c r="M58" s="18">
        <v>1</v>
      </c>
      <c r="N58" s="18">
        <v>1</v>
      </c>
      <c r="O58" s="18">
        <v>1</v>
      </c>
      <c r="P58" s="22">
        <v>372</v>
      </c>
      <c r="Q58" s="22">
        <f t="shared" ca="1" si="16"/>
        <v>0.04</v>
      </c>
      <c r="R58" s="22">
        <f t="shared" ca="1" si="17"/>
        <v>0.04</v>
      </c>
      <c r="S58" s="22">
        <f t="shared" ca="1" si="18"/>
        <v>0.05</v>
      </c>
      <c r="T58" s="22">
        <f t="shared" ca="1" si="19"/>
        <v>0.01</v>
      </c>
      <c r="U58" s="22">
        <f t="shared" ca="1" si="20"/>
        <v>0.01</v>
      </c>
      <c r="V58" s="22">
        <f t="shared" ca="1" si="21"/>
        <v>0.01</v>
      </c>
      <c r="W58" s="22"/>
      <c r="X58" s="25">
        <v>298</v>
      </c>
      <c r="Y58" s="26">
        <f t="shared" ca="1" si="12"/>
        <v>4.3333333333333335E-2</v>
      </c>
      <c r="Z58" s="26">
        <f t="shared" ca="1" si="13"/>
        <v>0.01</v>
      </c>
      <c r="AA58" s="26">
        <v>1</v>
      </c>
      <c r="AB58" s="26">
        <v>3.3700000000000001E-7</v>
      </c>
      <c r="AC58" s="26"/>
      <c r="AD58" s="25">
        <v>349</v>
      </c>
      <c r="AE58" s="27">
        <f t="shared" ca="1" si="14"/>
        <v>4.3333333333333335E-2</v>
      </c>
      <c r="AF58" s="27">
        <f t="shared" ca="1" si="15"/>
        <v>0.01</v>
      </c>
      <c r="AG58" s="22"/>
      <c r="AH58" s="6"/>
      <c r="AI58" s="28"/>
      <c r="AJ58" s="28"/>
      <c r="AK58" s="28"/>
      <c r="AL58" s="28"/>
      <c r="AM58" s="28"/>
      <c r="AN58" s="28"/>
    </row>
    <row r="59" spans="1:40" ht="15.75" x14ac:dyDescent="0.25">
      <c r="A59" s="2">
        <v>288</v>
      </c>
      <c r="B59" s="16">
        <f t="shared" ca="1" si="0"/>
        <v>0.04</v>
      </c>
      <c r="C59" s="16">
        <f t="shared" ca="1" si="1"/>
        <v>0.04</v>
      </c>
      <c r="D59" s="16">
        <f t="shared" ca="1" si="2"/>
        <v>0.05</v>
      </c>
      <c r="E59" s="16">
        <f t="shared" ca="1" si="3"/>
        <v>0.01</v>
      </c>
      <c r="F59" s="16">
        <f t="shared" ca="1" si="4"/>
        <v>0.01</v>
      </c>
      <c r="G59" s="16">
        <f t="shared" ca="1" si="5"/>
        <v>0.01</v>
      </c>
      <c r="H59" s="11"/>
      <c r="I59" s="2">
        <v>344</v>
      </c>
      <c r="J59" s="18">
        <v>4</v>
      </c>
      <c r="K59" s="18">
        <v>4</v>
      </c>
      <c r="L59" s="18">
        <v>5</v>
      </c>
      <c r="M59" s="18">
        <v>1</v>
      </c>
      <c r="N59" s="18">
        <v>1</v>
      </c>
      <c r="O59" s="18">
        <v>1</v>
      </c>
      <c r="P59" s="22">
        <v>371</v>
      </c>
      <c r="Q59" s="22">
        <f t="shared" ca="1" si="16"/>
        <v>0.04</v>
      </c>
      <c r="R59" s="22">
        <f t="shared" ca="1" si="17"/>
        <v>0.04</v>
      </c>
      <c r="S59" s="22">
        <f t="shared" ca="1" si="18"/>
        <v>0.05</v>
      </c>
      <c r="T59" s="22">
        <f t="shared" ca="1" si="19"/>
        <v>0.01</v>
      </c>
      <c r="U59" s="22">
        <f t="shared" ca="1" si="20"/>
        <v>0.01</v>
      </c>
      <c r="V59" s="22">
        <f t="shared" ca="1" si="21"/>
        <v>0.01</v>
      </c>
      <c r="W59" s="22"/>
      <c r="X59" s="25">
        <v>296</v>
      </c>
      <c r="Y59" s="26">
        <f t="shared" ca="1" si="12"/>
        <v>4.3333333333333335E-2</v>
      </c>
      <c r="Z59" s="26">
        <f t="shared" ca="1" si="13"/>
        <v>0.01</v>
      </c>
      <c r="AA59" s="26">
        <v>1</v>
      </c>
      <c r="AB59" s="26">
        <v>1.2800000000000001E-7</v>
      </c>
      <c r="AC59" s="26"/>
      <c r="AD59" s="25">
        <v>348</v>
      </c>
      <c r="AE59" s="27">
        <f t="shared" ca="1" si="14"/>
        <v>4.3333333333333335E-2</v>
      </c>
      <c r="AF59" s="27">
        <f t="shared" ca="1" si="15"/>
        <v>0.01</v>
      </c>
      <c r="AG59" s="22"/>
      <c r="AH59" s="6"/>
      <c r="AI59" s="28"/>
      <c r="AJ59" s="28"/>
      <c r="AK59" s="28"/>
      <c r="AL59" s="28"/>
      <c r="AM59" s="28"/>
      <c r="AN59" s="28"/>
    </row>
    <row r="60" spans="1:40" ht="15.75" x14ac:dyDescent="0.25">
      <c r="A60" s="2">
        <v>286</v>
      </c>
      <c r="B60" s="16">
        <f t="shared" ca="1" si="0"/>
        <v>0.04</v>
      </c>
      <c r="C60" s="16">
        <f t="shared" ca="1" si="1"/>
        <v>0.04</v>
      </c>
      <c r="D60" s="16">
        <f t="shared" ca="1" si="2"/>
        <v>0.05</v>
      </c>
      <c r="E60" s="16">
        <f t="shared" ca="1" si="3"/>
        <v>0.01</v>
      </c>
      <c r="F60" s="16">
        <f t="shared" ca="1" si="4"/>
        <v>0.01</v>
      </c>
      <c r="G60" s="16">
        <f t="shared" ca="1" si="5"/>
        <v>0.01</v>
      </c>
      <c r="H60" s="11"/>
      <c r="I60" s="2">
        <v>343</v>
      </c>
      <c r="J60" s="18">
        <v>4</v>
      </c>
      <c r="K60" s="18">
        <v>4</v>
      </c>
      <c r="L60" s="18">
        <v>5</v>
      </c>
      <c r="M60" s="18">
        <v>1</v>
      </c>
      <c r="N60" s="18">
        <v>1</v>
      </c>
      <c r="O60" s="18">
        <v>1</v>
      </c>
      <c r="P60" s="22">
        <v>370</v>
      </c>
      <c r="Q60" s="22">
        <f t="shared" ca="1" si="16"/>
        <v>0.04</v>
      </c>
      <c r="R60" s="22">
        <f t="shared" ca="1" si="17"/>
        <v>0.04</v>
      </c>
      <c r="S60" s="22">
        <f t="shared" ca="1" si="18"/>
        <v>0.05</v>
      </c>
      <c r="T60" s="22">
        <f t="shared" ca="1" si="19"/>
        <v>0.01</v>
      </c>
      <c r="U60" s="22">
        <f t="shared" ca="1" si="20"/>
        <v>0.01</v>
      </c>
      <c r="V60" s="22">
        <f t="shared" ca="1" si="21"/>
        <v>0.01</v>
      </c>
      <c r="W60" s="22"/>
      <c r="X60" s="25">
        <v>294</v>
      </c>
      <c r="Y60" s="26">
        <f t="shared" ca="1" si="12"/>
        <v>4.3333333333333335E-2</v>
      </c>
      <c r="Z60" s="26">
        <f t="shared" ca="1" si="13"/>
        <v>0.01</v>
      </c>
      <c r="AA60" s="26">
        <v>1</v>
      </c>
      <c r="AB60" s="26">
        <v>2.92E-8</v>
      </c>
      <c r="AC60" s="26"/>
      <c r="AD60" s="25">
        <v>347</v>
      </c>
      <c r="AE60" s="27">
        <f t="shared" ca="1" si="14"/>
        <v>4.3333333333333335E-2</v>
      </c>
      <c r="AF60" s="27">
        <f t="shared" ca="1" si="15"/>
        <v>0.01</v>
      </c>
      <c r="AG60" s="22"/>
      <c r="AH60" s="6"/>
      <c r="AI60" s="28"/>
      <c r="AJ60" s="28"/>
      <c r="AK60" s="28"/>
      <c r="AL60" s="28"/>
      <c r="AM60" s="28"/>
      <c r="AN60" s="28"/>
    </row>
    <row r="61" spans="1:40" ht="15.75" x14ac:dyDescent="0.25">
      <c r="A61" s="2">
        <v>284</v>
      </c>
      <c r="B61" s="16">
        <f t="shared" ca="1" si="0"/>
        <v>0.04</v>
      </c>
      <c r="C61" s="16">
        <f t="shared" ca="1" si="1"/>
        <v>0.04</v>
      </c>
      <c r="D61" s="16">
        <f t="shared" ca="1" si="2"/>
        <v>0.05</v>
      </c>
      <c r="E61" s="16">
        <f t="shared" ca="1" si="3"/>
        <v>0.01</v>
      </c>
      <c r="F61" s="16">
        <f t="shared" ca="1" si="4"/>
        <v>0.01</v>
      </c>
      <c r="G61" s="16">
        <f t="shared" ca="1" si="5"/>
        <v>0.01</v>
      </c>
      <c r="H61" s="11"/>
      <c r="I61" s="2">
        <v>342</v>
      </c>
      <c r="J61" s="18">
        <v>4</v>
      </c>
      <c r="K61" s="18">
        <v>4</v>
      </c>
      <c r="L61" s="18">
        <v>5</v>
      </c>
      <c r="M61" s="18">
        <v>1</v>
      </c>
      <c r="N61" s="18">
        <v>1</v>
      </c>
      <c r="O61" s="18">
        <v>1</v>
      </c>
      <c r="P61" s="22">
        <v>369</v>
      </c>
      <c r="Q61" s="22">
        <f t="shared" ca="1" si="16"/>
        <v>0.04</v>
      </c>
      <c r="R61" s="22">
        <f t="shared" ca="1" si="17"/>
        <v>0.04</v>
      </c>
      <c r="S61" s="22">
        <f t="shared" ca="1" si="18"/>
        <v>0.05</v>
      </c>
      <c r="T61" s="22">
        <f t="shared" ca="1" si="19"/>
        <v>0.01</v>
      </c>
      <c r="U61" s="22">
        <f t="shared" ca="1" si="20"/>
        <v>0.01</v>
      </c>
      <c r="V61" s="22">
        <f t="shared" ca="1" si="21"/>
        <v>0.01</v>
      </c>
      <c r="W61" s="22"/>
      <c r="X61" s="25">
        <v>292</v>
      </c>
      <c r="Y61" s="26">
        <f t="shared" ca="1" si="12"/>
        <v>4.3333333333333335E-2</v>
      </c>
      <c r="Z61" s="26">
        <f t="shared" ca="1" si="13"/>
        <v>0.01</v>
      </c>
      <c r="AA61" s="26">
        <v>1</v>
      </c>
      <c r="AB61" s="26">
        <v>2.8499999999999999E-9</v>
      </c>
      <c r="AC61" s="26"/>
      <c r="AD61" s="25">
        <v>346</v>
      </c>
      <c r="AE61" s="27">
        <f t="shared" ca="1" si="14"/>
        <v>4.3333333333333335E-2</v>
      </c>
      <c r="AF61" s="27">
        <f t="shared" ca="1" si="15"/>
        <v>0.01</v>
      </c>
      <c r="AG61" s="22"/>
      <c r="AH61" s="6"/>
      <c r="AI61" s="28"/>
      <c r="AJ61" s="28"/>
      <c r="AK61" s="28"/>
      <c r="AL61" s="28"/>
      <c r="AM61" s="28"/>
      <c r="AN61" s="28"/>
    </row>
    <row r="62" spans="1:40" ht="15.75" x14ac:dyDescent="0.25">
      <c r="A62" s="2">
        <v>282</v>
      </c>
      <c r="B62" s="16">
        <f t="shared" ca="1" si="0"/>
        <v>0.04</v>
      </c>
      <c r="C62" s="16">
        <f t="shared" ca="1" si="1"/>
        <v>0.04</v>
      </c>
      <c r="D62" s="16">
        <f t="shared" ca="1" si="2"/>
        <v>0.05</v>
      </c>
      <c r="E62" s="16">
        <f t="shared" ca="1" si="3"/>
        <v>0.01</v>
      </c>
      <c r="F62" s="16">
        <f t="shared" ca="1" si="4"/>
        <v>0.01</v>
      </c>
      <c r="G62" s="16">
        <f t="shared" ca="1" si="5"/>
        <v>0.01</v>
      </c>
      <c r="H62" s="11"/>
      <c r="I62" s="2">
        <v>341</v>
      </c>
      <c r="J62" s="18">
        <v>4</v>
      </c>
      <c r="K62" s="18">
        <v>4</v>
      </c>
      <c r="L62" s="18">
        <v>5</v>
      </c>
      <c r="M62" s="18">
        <v>1</v>
      </c>
      <c r="N62" s="18">
        <v>1</v>
      </c>
      <c r="O62" s="18">
        <v>1</v>
      </c>
      <c r="P62" s="22">
        <v>368</v>
      </c>
      <c r="Q62" s="22">
        <f t="shared" ca="1" si="16"/>
        <v>0.05</v>
      </c>
      <c r="R62" s="22">
        <f t="shared" ca="1" si="17"/>
        <v>0.05</v>
      </c>
      <c r="S62" s="22">
        <f t="shared" ca="1" si="18"/>
        <v>0.55000000000000004</v>
      </c>
      <c r="T62" s="22">
        <f t="shared" ca="1" si="19"/>
        <v>0.01</v>
      </c>
      <c r="U62" s="22">
        <f t="shared" ca="1" si="20"/>
        <v>0.01</v>
      </c>
      <c r="V62" s="22">
        <f t="shared" ca="1" si="21"/>
        <v>0.01</v>
      </c>
      <c r="W62" s="22"/>
      <c r="X62" s="25">
        <v>290</v>
      </c>
      <c r="Y62" s="26">
        <f t="shared" ca="1" si="12"/>
        <v>4.3333333333333335E-2</v>
      </c>
      <c r="Z62" s="26">
        <f t="shared" ca="1" si="13"/>
        <v>0.01</v>
      </c>
      <c r="AA62" s="26">
        <v>1</v>
      </c>
      <c r="AB62" s="26">
        <v>3.0900000000000002E-10</v>
      </c>
      <c r="AC62" s="26"/>
      <c r="AD62" s="25">
        <v>345</v>
      </c>
      <c r="AE62" s="27">
        <f t="shared" ca="1" si="14"/>
        <v>4.3333333333333335E-2</v>
      </c>
      <c r="AF62" s="27">
        <f t="shared" ca="1" si="15"/>
        <v>0.01</v>
      </c>
      <c r="AG62" s="22"/>
      <c r="AH62" s="6"/>
      <c r="AI62" s="28"/>
      <c r="AJ62" s="28"/>
      <c r="AK62" s="28"/>
      <c r="AL62" s="28"/>
      <c r="AM62" s="28"/>
      <c r="AN62" s="28"/>
    </row>
    <row r="63" spans="1:40" ht="15.75" x14ac:dyDescent="0.25">
      <c r="A63" s="2">
        <v>280</v>
      </c>
      <c r="B63" s="16">
        <f t="shared" ca="1" si="0"/>
        <v>0.04</v>
      </c>
      <c r="C63" s="16">
        <f t="shared" ca="1" si="1"/>
        <v>0.04</v>
      </c>
      <c r="D63" s="16">
        <f t="shared" ca="1" si="2"/>
        <v>0.05</v>
      </c>
      <c r="E63" s="16">
        <f t="shared" ca="1" si="3"/>
        <v>2.3E-2</v>
      </c>
      <c r="F63" s="16">
        <f t="shared" ca="1" si="4"/>
        <v>2.4E-2</v>
      </c>
      <c r="G63" s="16">
        <f t="shared" ca="1" si="5"/>
        <v>2.5000000000000001E-2</v>
      </c>
      <c r="H63" s="11"/>
      <c r="I63" s="2">
        <v>340</v>
      </c>
      <c r="J63" s="18">
        <v>4</v>
      </c>
      <c r="K63" s="18">
        <v>4</v>
      </c>
      <c r="L63" s="18">
        <v>5</v>
      </c>
      <c r="M63" s="18">
        <v>1</v>
      </c>
      <c r="N63" s="18">
        <v>1</v>
      </c>
      <c r="O63" s="18">
        <v>1</v>
      </c>
      <c r="P63" s="22">
        <v>367</v>
      </c>
      <c r="Q63" s="22">
        <f t="shared" ca="1" si="16"/>
        <v>0.04</v>
      </c>
      <c r="R63" s="22">
        <f t="shared" ca="1" si="17"/>
        <v>0.04</v>
      </c>
      <c r="S63" s="22">
        <f t="shared" ca="1" si="18"/>
        <v>0.05</v>
      </c>
      <c r="T63" s="22">
        <f t="shared" ca="1" si="19"/>
        <v>0.01</v>
      </c>
      <c r="U63" s="22">
        <f t="shared" ca="1" si="20"/>
        <v>0.01</v>
      </c>
      <c r="V63" s="22">
        <f t="shared" ca="1" si="21"/>
        <v>0.01</v>
      </c>
      <c r="W63" s="22"/>
      <c r="X63" s="25">
        <v>288</v>
      </c>
      <c r="Y63" s="26">
        <f t="shared" ca="1" si="12"/>
        <v>4.3333333333333335E-2</v>
      </c>
      <c r="Z63" s="26">
        <f t="shared" ca="1" si="13"/>
        <v>0.01</v>
      </c>
      <c r="AA63" s="26">
        <v>1</v>
      </c>
      <c r="AB63" s="26">
        <v>6.4699999999999994E-11</v>
      </c>
      <c r="AC63" s="26"/>
      <c r="AD63" s="25">
        <v>344</v>
      </c>
      <c r="AE63" s="27">
        <f t="shared" ca="1" si="14"/>
        <v>4.3333333333333335E-2</v>
      </c>
      <c r="AF63" s="27">
        <f t="shared" ca="1" si="15"/>
        <v>0.01</v>
      </c>
      <c r="AG63" s="22"/>
      <c r="AH63" s="6"/>
      <c r="AI63" s="28"/>
      <c r="AJ63" s="28"/>
      <c r="AK63" s="28"/>
      <c r="AL63" s="28"/>
      <c r="AM63" s="28"/>
      <c r="AN63" s="28"/>
    </row>
    <row r="64" spans="1:40" ht="15.75" x14ac:dyDescent="0.25">
      <c r="A64" s="10"/>
      <c r="B64" s="5"/>
      <c r="C64" s="11"/>
      <c r="D64" s="11"/>
      <c r="E64" s="11"/>
      <c r="F64" s="11"/>
      <c r="G64" s="11"/>
      <c r="H64" s="11"/>
      <c r="I64" s="2">
        <v>339</v>
      </c>
      <c r="J64" s="18">
        <v>4</v>
      </c>
      <c r="K64" s="18">
        <v>4</v>
      </c>
      <c r="L64" s="18">
        <v>5</v>
      </c>
      <c r="M64" s="18">
        <v>1</v>
      </c>
      <c r="N64" s="18">
        <v>1</v>
      </c>
      <c r="O64" s="18">
        <v>1</v>
      </c>
      <c r="P64" s="22">
        <v>366</v>
      </c>
      <c r="Q64" s="22">
        <f t="shared" ca="1" si="16"/>
        <v>0.04</v>
      </c>
      <c r="R64" s="22">
        <f t="shared" ca="1" si="17"/>
        <v>0.04</v>
      </c>
      <c r="S64" s="22">
        <f t="shared" ca="1" si="18"/>
        <v>0.05</v>
      </c>
      <c r="T64" s="22">
        <f t="shared" ca="1" si="19"/>
        <v>0.01</v>
      </c>
      <c r="U64" s="22">
        <f t="shared" ca="1" si="20"/>
        <v>0.01</v>
      </c>
      <c r="V64" s="22">
        <f t="shared" ca="1" si="21"/>
        <v>0.01</v>
      </c>
      <c r="W64" s="22"/>
      <c r="X64" s="25">
        <v>286</v>
      </c>
      <c r="Y64" s="26">
        <f t="shared" ca="1" si="12"/>
        <v>4.3333333333333335E-2</v>
      </c>
      <c r="Z64" s="26">
        <f t="shared" ca="1" si="13"/>
        <v>0.01</v>
      </c>
      <c r="AA64" s="26">
        <v>1</v>
      </c>
      <c r="AB64" s="26">
        <v>4.0600000000000001E-11</v>
      </c>
      <c r="AC64" s="26"/>
      <c r="AD64" s="25">
        <v>343</v>
      </c>
      <c r="AE64" s="27">
        <f t="shared" ca="1" si="14"/>
        <v>4.3333333333333335E-2</v>
      </c>
      <c r="AF64" s="27">
        <f t="shared" ca="1" si="15"/>
        <v>0.01</v>
      </c>
      <c r="AG64" s="22"/>
      <c r="AH64" s="6"/>
      <c r="AI64" s="28"/>
      <c r="AJ64" s="28"/>
      <c r="AK64" s="28"/>
      <c r="AL64" s="28"/>
      <c r="AM64" s="28"/>
      <c r="AN64" s="28"/>
    </row>
    <row r="65" spans="1:40" ht="15.75" x14ac:dyDescent="0.25">
      <c r="A65" s="10"/>
      <c r="B65" s="5"/>
      <c r="C65" s="11"/>
      <c r="D65" s="11"/>
      <c r="E65" s="11"/>
      <c r="F65" s="11"/>
      <c r="G65" s="11"/>
      <c r="H65" s="11"/>
      <c r="I65" s="2">
        <v>338</v>
      </c>
      <c r="J65" s="18">
        <v>4</v>
      </c>
      <c r="K65" s="18">
        <v>4</v>
      </c>
      <c r="L65" s="18">
        <v>5</v>
      </c>
      <c r="M65" s="18">
        <v>1</v>
      </c>
      <c r="N65" s="18">
        <v>1</v>
      </c>
      <c r="O65" s="18">
        <v>1</v>
      </c>
      <c r="P65" s="22">
        <v>365</v>
      </c>
      <c r="Q65" s="22">
        <f t="shared" ca="1" si="16"/>
        <v>0.04</v>
      </c>
      <c r="R65" s="22">
        <f t="shared" ca="1" si="17"/>
        <v>0.04</v>
      </c>
      <c r="S65" s="22">
        <f t="shared" ca="1" si="18"/>
        <v>0.05</v>
      </c>
      <c r="T65" s="22">
        <f t="shared" ca="1" si="19"/>
        <v>0.01</v>
      </c>
      <c r="U65" s="22">
        <f t="shared" ca="1" si="20"/>
        <v>0.01</v>
      </c>
      <c r="V65" s="22">
        <f t="shared" ca="1" si="21"/>
        <v>0.01</v>
      </c>
      <c r="W65" s="22"/>
      <c r="X65" s="25">
        <v>284</v>
      </c>
      <c r="Y65" s="26">
        <f t="shared" ca="1" si="12"/>
        <v>4.3333333333333335E-2</v>
      </c>
      <c r="Z65" s="26">
        <f t="shared" ca="1" si="13"/>
        <v>0.01</v>
      </c>
      <c r="AA65" s="26">
        <v>1</v>
      </c>
      <c r="AB65" s="26">
        <v>3.1400000000000003E-11</v>
      </c>
      <c r="AC65" s="26"/>
      <c r="AD65" s="25">
        <v>342</v>
      </c>
      <c r="AE65" s="27">
        <f t="shared" ca="1" si="14"/>
        <v>4.3333333333333335E-2</v>
      </c>
      <c r="AF65" s="27">
        <f t="shared" ca="1" si="15"/>
        <v>0.01</v>
      </c>
      <c r="AG65" s="22"/>
      <c r="AH65" s="6"/>
      <c r="AI65" s="28"/>
      <c r="AJ65" s="28"/>
      <c r="AK65" s="28"/>
      <c r="AL65" s="28"/>
      <c r="AM65" s="28"/>
      <c r="AN65" s="28"/>
    </row>
    <row r="66" spans="1:40" ht="15.75" x14ac:dyDescent="0.25">
      <c r="A66" s="10"/>
      <c r="B66" s="5"/>
      <c r="C66" s="11"/>
      <c r="D66" s="11"/>
      <c r="E66" s="11"/>
      <c r="F66" s="11"/>
      <c r="G66" s="11"/>
      <c r="H66" s="11"/>
      <c r="I66" s="2">
        <v>337</v>
      </c>
      <c r="J66" s="18">
        <v>4</v>
      </c>
      <c r="K66" s="18">
        <v>4</v>
      </c>
      <c r="L66" s="18">
        <v>5</v>
      </c>
      <c r="M66" s="18">
        <v>1</v>
      </c>
      <c r="N66" s="18">
        <v>1</v>
      </c>
      <c r="O66" s="18">
        <v>1</v>
      </c>
      <c r="P66" s="22">
        <v>364</v>
      </c>
      <c r="Q66" s="22">
        <f t="shared" ca="1" si="16"/>
        <v>0.04</v>
      </c>
      <c r="R66" s="22">
        <f t="shared" ca="1" si="17"/>
        <v>0.04</v>
      </c>
      <c r="S66" s="22">
        <f t="shared" ca="1" si="18"/>
        <v>0.05</v>
      </c>
      <c r="T66" s="22">
        <f t="shared" ca="1" si="19"/>
        <v>0.01</v>
      </c>
      <c r="U66" s="22">
        <f t="shared" ca="1" si="20"/>
        <v>0.01</v>
      </c>
      <c r="V66" s="22">
        <f t="shared" ca="1" si="21"/>
        <v>0.01</v>
      </c>
      <c r="W66" s="22"/>
      <c r="X66" s="25">
        <v>282</v>
      </c>
      <c r="Y66" s="26">
        <f t="shared" ca="1" si="12"/>
        <v>4.3333333333333335E-2</v>
      </c>
      <c r="Z66" s="26">
        <f t="shared" ca="1" si="13"/>
        <v>0.01</v>
      </c>
      <c r="AA66" s="26">
        <v>1</v>
      </c>
      <c r="AB66" s="26">
        <v>2.37E-11</v>
      </c>
      <c r="AC66" s="26"/>
      <c r="AD66" s="25">
        <v>341</v>
      </c>
      <c r="AE66" s="27">
        <f t="shared" ca="1" si="14"/>
        <v>4.3333333333333335E-2</v>
      </c>
      <c r="AF66" s="27">
        <f t="shared" ca="1" si="15"/>
        <v>0.01</v>
      </c>
      <c r="AG66" s="22"/>
      <c r="AH66" s="6"/>
      <c r="AI66" s="28"/>
      <c r="AJ66" s="28"/>
      <c r="AK66" s="28"/>
      <c r="AL66" s="28"/>
      <c r="AM66" s="28"/>
      <c r="AN66" s="28"/>
    </row>
    <row r="67" spans="1:40" ht="15.75" x14ac:dyDescent="0.25">
      <c r="A67" s="10"/>
      <c r="B67" s="5"/>
      <c r="C67" s="11"/>
      <c r="D67" s="11"/>
      <c r="E67" s="11"/>
      <c r="F67" s="11"/>
      <c r="G67" s="11"/>
      <c r="H67" s="11"/>
      <c r="I67" s="2">
        <v>336</v>
      </c>
      <c r="J67" s="18">
        <v>4</v>
      </c>
      <c r="K67" s="18">
        <v>4</v>
      </c>
      <c r="L67" s="18">
        <v>5</v>
      </c>
      <c r="M67" s="18">
        <v>1</v>
      </c>
      <c r="N67" s="18">
        <v>1</v>
      </c>
      <c r="O67" s="18">
        <v>1</v>
      </c>
      <c r="P67" s="22">
        <v>363</v>
      </c>
      <c r="Q67" s="22">
        <f t="shared" ca="1" si="16"/>
        <v>0.04</v>
      </c>
      <c r="R67" s="22">
        <f t="shared" ca="1" si="17"/>
        <v>0.04</v>
      </c>
      <c r="S67" s="22">
        <f t="shared" ca="1" si="18"/>
        <v>0.05</v>
      </c>
      <c r="T67" s="22">
        <f t="shared" ca="1" si="19"/>
        <v>0.01</v>
      </c>
      <c r="U67" s="22">
        <f t="shared" ca="1" si="20"/>
        <v>0.01</v>
      </c>
      <c r="V67" s="22">
        <f t="shared" ca="1" si="21"/>
        <v>0.01</v>
      </c>
      <c r="W67" s="22"/>
      <c r="X67" s="25">
        <v>280</v>
      </c>
      <c r="Y67" s="26">
        <f t="shared" ca="1" si="12"/>
        <v>4.3333333333333335E-2</v>
      </c>
      <c r="Z67" s="26">
        <f t="shared" ca="1" si="13"/>
        <v>2.4000000000000004E-2</v>
      </c>
      <c r="AA67" s="26">
        <v>1</v>
      </c>
      <c r="AB67" s="26">
        <v>4.1199999999999997E-11</v>
      </c>
      <c r="AC67" s="26"/>
      <c r="AD67" s="25">
        <v>340</v>
      </c>
      <c r="AE67" s="27">
        <f t="shared" ca="1" si="14"/>
        <v>4.3333333333333335E-2</v>
      </c>
      <c r="AF67" s="27">
        <f t="shared" ca="1" si="15"/>
        <v>0.01</v>
      </c>
      <c r="AG67" s="22"/>
      <c r="AH67" s="6"/>
      <c r="AI67" s="28"/>
      <c r="AJ67" s="28"/>
      <c r="AK67" s="28"/>
      <c r="AL67" s="28"/>
      <c r="AM67" s="28"/>
      <c r="AN67" s="28"/>
    </row>
    <row r="68" spans="1:40" ht="15.75" x14ac:dyDescent="0.25">
      <c r="A68" s="10"/>
      <c r="B68" s="5"/>
      <c r="C68" s="11"/>
      <c r="D68" s="11"/>
      <c r="E68" s="11"/>
      <c r="F68" s="11"/>
      <c r="G68" s="11"/>
      <c r="H68" s="11"/>
      <c r="I68" s="2">
        <v>335</v>
      </c>
      <c r="J68" s="18">
        <v>4</v>
      </c>
      <c r="K68" s="18">
        <v>4</v>
      </c>
      <c r="L68" s="18">
        <v>5</v>
      </c>
      <c r="M68" s="18">
        <v>1</v>
      </c>
      <c r="N68" s="18">
        <v>1</v>
      </c>
      <c r="O68" s="18">
        <v>1</v>
      </c>
      <c r="P68" s="22">
        <v>362</v>
      </c>
      <c r="Q68" s="22">
        <f t="shared" ca="1" si="16"/>
        <v>0.04</v>
      </c>
      <c r="R68" s="22">
        <f t="shared" ca="1" si="17"/>
        <v>0.04</v>
      </c>
      <c r="S68" s="22">
        <f t="shared" ca="1" si="18"/>
        <v>0.05</v>
      </c>
      <c r="T68" s="22">
        <f t="shared" ca="1" si="19"/>
        <v>0.01</v>
      </c>
      <c r="U68" s="22">
        <f t="shared" ca="1" si="20"/>
        <v>0.01</v>
      </c>
      <c r="V68" s="22">
        <f t="shared" ca="1" si="21"/>
        <v>0.01</v>
      </c>
      <c r="W68" s="22"/>
      <c r="X68" s="22" t="s">
        <v>133</v>
      </c>
      <c r="Y68" s="29">
        <f>SUMPRODUCT(AA7:AA67,AB7:AB67)</f>
        <v>1.0854396E-5</v>
      </c>
      <c r="Z68" s="29">
        <f>SUMPRODUCT(AA7:AA67,AB7:AB67)</f>
        <v>1.0854396E-5</v>
      </c>
      <c r="AA68" s="29"/>
      <c r="AB68" s="29"/>
      <c r="AC68" s="29"/>
      <c r="AD68" s="25">
        <v>339</v>
      </c>
      <c r="AE68" s="22">
        <f t="shared" ca="1" si="14"/>
        <v>4.3333333333333335E-2</v>
      </c>
      <c r="AF68" s="29">
        <f t="shared" ca="1" si="15"/>
        <v>0.01</v>
      </c>
      <c r="AG68" s="22"/>
      <c r="AH68" s="6"/>
      <c r="AI68" s="28"/>
      <c r="AJ68" s="28"/>
      <c r="AK68" s="28"/>
      <c r="AL68" s="28"/>
      <c r="AM68" s="28"/>
      <c r="AN68" s="28"/>
    </row>
    <row r="69" spans="1:40" ht="15.75" x14ac:dyDescent="0.25">
      <c r="A69" s="10"/>
      <c r="B69" s="5"/>
      <c r="C69" s="11"/>
      <c r="D69" s="11"/>
      <c r="E69" s="11"/>
      <c r="F69" s="11"/>
      <c r="G69" s="11"/>
      <c r="H69" s="11"/>
      <c r="I69" s="2">
        <v>334</v>
      </c>
      <c r="J69" s="18">
        <v>4</v>
      </c>
      <c r="K69" s="18">
        <v>4</v>
      </c>
      <c r="L69" s="18">
        <v>5</v>
      </c>
      <c r="M69" s="18">
        <v>1</v>
      </c>
      <c r="N69" s="18">
        <v>1</v>
      </c>
      <c r="O69" s="18">
        <v>1</v>
      </c>
      <c r="P69" s="22">
        <v>361</v>
      </c>
      <c r="Q69" s="22">
        <f t="shared" ca="1" si="16"/>
        <v>0.04</v>
      </c>
      <c r="R69" s="22">
        <f t="shared" ca="1" si="17"/>
        <v>0.04</v>
      </c>
      <c r="S69" s="22">
        <f t="shared" ca="1" si="18"/>
        <v>0.05</v>
      </c>
      <c r="T69" s="22">
        <f t="shared" ca="1" si="19"/>
        <v>0.01</v>
      </c>
      <c r="U69" s="22">
        <f t="shared" ca="1" si="20"/>
        <v>0.01</v>
      </c>
      <c r="V69" s="22">
        <f t="shared" ca="1" si="21"/>
        <v>0.01</v>
      </c>
      <c r="W69" s="22"/>
      <c r="X69" s="22" t="s">
        <v>134</v>
      </c>
      <c r="Y69" s="29">
        <f ca="1">SUMPRODUCT(Y7:Y67,AA7:AA67,AB7:AB67)</f>
        <v>4.7519176933333337E-7</v>
      </c>
      <c r="Z69" s="29">
        <f ca="1">SUMPRODUCT(Z7:Z67,AA7:AA67,AB7:AB67)</f>
        <v>1.0830692613333334E-7</v>
      </c>
      <c r="AA69" s="29"/>
      <c r="AB69" s="29"/>
      <c r="AC69" s="29"/>
      <c r="AD69" s="25">
        <v>338</v>
      </c>
      <c r="AE69" s="22">
        <f t="shared" ca="1" si="14"/>
        <v>4.3333333333333335E-2</v>
      </c>
      <c r="AF69" s="29">
        <f t="shared" ca="1" si="15"/>
        <v>0.01</v>
      </c>
      <c r="AG69" s="22"/>
      <c r="AH69" s="6"/>
      <c r="AI69" s="28"/>
      <c r="AJ69" s="28"/>
      <c r="AK69" s="28"/>
      <c r="AL69" s="28"/>
      <c r="AM69" s="28"/>
      <c r="AN69" s="28"/>
    </row>
    <row r="70" spans="1:40" ht="15.75" x14ac:dyDescent="0.25">
      <c r="A70" s="10"/>
      <c r="B70" s="5"/>
      <c r="C70" s="11"/>
      <c r="D70" s="11"/>
      <c r="E70" s="11"/>
      <c r="F70" s="11"/>
      <c r="G70" s="11"/>
      <c r="H70" s="11"/>
      <c r="I70" s="2">
        <v>333</v>
      </c>
      <c r="J70" s="18">
        <v>4</v>
      </c>
      <c r="K70" s="18">
        <v>4</v>
      </c>
      <c r="L70" s="18">
        <v>5</v>
      </c>
      <c r="M70" s="18">
        <v>1</v>
      </c>
      <c r="N70" s="18">
        <v>1</v>
      </c>
      <c r="O70" s="18">
        <v>1</v>
      </c>
      <c r="P70" s="22">
        <v>360</v>
      </c>
      <c r="Q70" s="22">
        <f t="shared" ca="1" si="16"/>
        <v>0.04</v>
      </c>
      <c r="R70" s="22">
        <f t="shared" ca="1" si="17"/>
        <v>0.04</v>
      </c>
      <c r="S70" s="22">
        <f t="shared" ca="1" si="18"/>
        <v>0.05</v>
      </c>
      <c r="T70" s="22">
        <f t="shared" ca="1" si="19"/>
        <v>0.01</v>
      </c>
      <c r="U70" s="22">
        <f t="shared" ca="1" si="20"/>
        <v>0.01</v>
      </c>
      <c r="V70" s="22">
        <f t="shared" ca="1" si="21"/>
        <v>0.01</v>
      </c>
      <c r="W70" s="22"/>
      <c r="X70" s="22" t="s">
        <v>124</v>
      </c>
      <c r="Y70" s="29">
        <f ca="1">Y68/Y69</f>
        <v>22.842138059815493</v>
      </c>
      <c r="Z70" s="29">
        <f t="shared" ref="Z70" ca="1" si="22">Z68/Z69</f>
        <v>100.21885383985033</v>
      </c>
      <c r="AA70" s="29"/>
      <c r="AB70" s="29"/>
      <c r="AC70" s="29"/>
      <c r="AD70" s="25">
        <v>337</v>
      </c>
      <c r="AE70" s="22">
        <f t="shared" ca="1" si="14"/>
        <v>4.3333333333333335E-2</v>
      </c>
      <c r="AF70" s="29">
        <f t="shared" ca="1" si="15"/>
        <v>0.01</v>
      </c>
      <c r="AG70" s="22"/>
      <c r="AH70" s="6"/>
      <c r="AI70" s="28"/>
      <c r="AJ70" s="28"/>
      <c r="AK70" s="28"/>
      <c r="AL70" s="28"/>
      <c r="AM70" s="28"/>
      <c r="AN70" s="28"/>
    </row>
    <row r="71" spans="1:40" ht="15.75" x14ac:dyDescent="0.25">
      <c r="A71" s="10"/>
      <c r="B71" s="5"/>
      <c r="C71" s="11"/>
      <c r="D71" s="11"/>
      <c r="E71" s="11"/>
      <c r="F71" s="11"/>
      <c r="G71" s="11"/>
      <c r="H71" s="11"/>
      <c r="I71" s="2">
        <v>332</v>
      </c>
      <c r="J71" s="18">
        <v>4</v>
      </c>
      <c r="K71" s="18">
        <v>4</v>
      </c>
      <c r="L71" s="18">
        <v>5</v>
      </c>
      <c r="M71" s="18">
        <v>1</v>
      </c>
      <c r="N71" s="18">
        <v>1</v>
      </c>
      <c r="O71" s="18">
        <v>1</v>
      </c>
      <c r="P71" s="22">
        <v>359</v>
      </c>
      <c r="Q71" s="22">
        <f t="shared" ca="1" si="16"/>
        <v>0.04</v>
      </c>
      <c r="R71" s="22">
        <f t="shared" ca="1" si="17"/>
        <v>0.04</v>
      </c>
      <c r="S71" s="22">
        <f t="shared" ca="1" si="18"/>
        <v>0.05</v>
      </c>
      <c r="T71" s="22">
        <f t="shared" ca="1" si="19"/>
        <v>0.01</v>
      </c>
      <c r="U71" s="22">
        <f t="shared" ca="1" si="20"/>
        <v>0.01</v>
      </c>
      <c r="V71" s="22">
        <f t="shared" ca="1" si="21"/>
        <v>0.01</v>
      </c>
      <c r="W71" s="22"/>
      <c r="X71" s="22"/>
      <c r="Y71" s="22"/>
      <c r="Z71" s="22"/>
      <c r="AA71" s="22"/>
      <c r="AB71" s="22"/>
      <c r="AC71" s="22"/>
      <c r="AD71" s="22">
        <v>336</v>
      </c>
      <c r="AE71" s="22">
        <f t="shared" ca="1" si="14"/>
        <v>4.3333333333333335E-2</v>
      </c>
      <c r="AF71" s="22">
        <f t="shared" ca="1" si="15"/>
        <v>0.01</v>
      </c>
      <c r="AG71" s="22"/>
      <c r="AH71" s="6"/>
      <c r="AI71" s="28"/>
      <c r="AJ71" s="28"/>
      <c r="AK71" s="28"/>
      <c r="AL71" s="28"/>
      <c r="AM71" s="28"/>
      <c r="AN71" s="28"/>
    </row>
    <row r="72" spans="1:40" ht="15.75" x14ac:dyDescent="0.25">
      <c r="A72" s="10"/>
      <c r="B72" s="5"/>
      <c r="C72" s="11"/>
      <c r="D72" s="11"/>
      <c r="E72" s="11"/>
      <c r="F72" s="11"/>
      <c r="G72" s="11"/>
      <c r="H72" s="11"/>
      <c r="I72" s="2">
        <v>331</v>
      </c>
      <c r="J72" s="18">
        <v>4</v>
      </c>
      <c r="K72" s="18">
        <v>4</v>
      </c>
      <c r="L72" s="18">
        <v>5</v>
      </c>
      <c r="M72" s="18">
        <v>1</v>
      </c>
      <c r="N72" s="18">
        <v>1</v>
      </c>
      <c r="O72" s="18">
        <v>1</v>
      </c>
      <c r="P72" s="22">
        <v>358</v>
      </c>
      <c r="Q72" s="22">
        <f t="shared" ca="1" si="16"/>
        <v>0.04</v>
      </c>
      <c r="R72" s="22">
        <f t="shared" ca="1" si="17"/>
        <v>0.04</v>
      </c>
      <c r="S72" s="22">
        <f t="shared" ca="1" si="18"/>
        <v>0.05</v>
      </c>
      <c r="T72" s="22">
        <f t="shared" ca="1" si="19"/>
        <v>0.01</v>
      </c>
      <c r="U72" s="22">
        <f t="shared" ca="1" si="20"/>
        <v>0.01</v>
      </c>
      <c r="V72" s="22">
        <f t="shared" ca="1" si="21"/>
        <v>0.01</v>
      </c>
      <c r="W72" s="22"/>
      <c r="X72" s="22"/>
      <c r="Y72" s="22"/>
      <c r="Z72" s="22"/>
      <c r="AA72" s="22"/>
      <c r="AB72" s="22"/>
      <c r="AC72" s="22"/>
      <c r="AD72" s="22">
        <v>335</v>
      </c>
      <c r="AE72" s="22">
        <f t="shared" ref="AE72:AE92" ca="1" si="23">AVERAGE(Q95:S95)</f>
        <v>4.3333333333333335E-2</v>
      </c>
      <c r="AF72" s="22">
        <f t="shared" ref="AF72:AF92" ca="1" si="24">AVERAGE(T95:V95)</f>
        <v>0.01</v>
      </c>
      <c r="AG72" s="22"/>
      <c r="AH72" s="6"/>
      <c r="AI72" s="28"/>
      <c r="AJ72" s="28"/>
      <c r="AK72" s="28"/>
      <c r="AL72" s="28"/>
      <c r="AM72" s="28"/>
      <c r="AN72" s="28"/>
    </row>
    <row r="73" spans="1:40" ht="15.75" x14ac:dyDescent="0.25">
      <c r="A73" s="10"/>
      <c r="B73" s="5"/>
      <c r="C73" s="11"/>
      <c r="D73" s="11"/>
      <c r="E73" s="11"/>
      <c r="F73" s="11"/>
      <c r="G73" s="11"/>
      <c r="H73" s="11"/>
      <c r="I73" s="2">
        <v>330</v>
      </c>
      <c r="J73" s="18">
        <v>4</v>
      </c>
      <c r="K73" s="18">
        <v>4</v>
      </c>
      <c r="L73" s="18">
        <v>5</v>
      </c>
      <c r="M73" s="18">
        <v>1</v>
      </c>
      <c r="N73" s="18">
        <v>1</v>
      </c>
      <c r="O73" s="18">
        <v>1</v>
      </c>
      <c r="P73" s="22">
        <v>357</v>
      </c>
      <c r="Q73" s="22">
        <f t="shared" ca="1" si="16"/>
        <v>0.04</v>
      </c>
      <c r="R73" s="22">
        <f t="shared" ca="1" si="17"/>
        <v>0.04</v>
      </c>
      <c r="S73" s="22">
        <f t="shared" ca="1" si="18"/>
        <v>0.05</v>
      </c>
      <c r="T73" s="22">
        <f t="shared" ca="1" si="19"/>
        <v>0.01</v>
      </c>
      <c r="U73" s="22">
        <f t="shared" ca="1" si="20"/>
        <v>0.01</v>
      </c>
      <c r="V73" s="22">
        <f t="shared" ca="1" si="21"/>
        <v>0.01</v>
      </c>
      <c r="W73" s="22"/>
      <c r="X73" s="22"/>
      <c r="Y73" s="22"/>
      <c r="Z73" s="22"/>
      <c r="AA73" s="22"/>
      <c r="AB73" s="22"/>
      <c r="AC73" s="22"/>
      <c r="AD73" s="22">
        <v>334</v>
      </c>
      <c r="AE73" s="22">
        <f t="shared" ca="1" si="23"/>
        <v>4.3333333333333335E-2</v>
      </c>
      <c r="AF73" s="22">
        <f t="shared" ca="1" si="24"/>
        <v>0.01</v>
      </c>
      <c r="AG73" s="22"/>
      <c r="AH73" s="6"/>
      <c r="AI73" s="28"/>
      <c r="AJ73" s="28"/>
      <c r="AK73" s="28"/>
      <c r="AL73" s="28"/>
      <c r="AM73" s="28"/>
      <c r="AN73" s="28"/>
    </row>
    <row r="74" spans="1:40" ht="15.75" x14ac:dyDescent="0.25">
      <c r="A74" s="10"/>
      <c r="B74" s="5"/>
      <c r="C74" s="11"/>
      <c r="D74" s="11"/>
      <c r="E74" s="11"/>
      <c r="F74" s="11"/>
      <c r="G74" s="11"/>
      <c r="H74" s="11"/>
      <c r="I74" s="2">
        <v>329</v>
      </c>
      <c r="J74" s="18">
        <v>4</v>
      </c>
      <c r="K74" s="18">
        <v>4</v>
      </c>
      <c r="L74" s="18">
        <v>5</v>
      </c>
      <c r="M74" s="18">
        <v>1</v>
      </c>
      <c r="N74" s="18">
        <v>1</v>
      </c>
      <c r="O74" s="18">
        <v>1</v>
      </c>
      <c r="P74" s="22">
        <v>356</v>
      </c>
      <c r="Q74" s="22">
        <f t="shared" ca="1" si="16"/>
        <v>0.04</v>
      </c>
      <c r="R74" s="22">
        <f t="shared" ca="1" si="17"/>
        <v>0.04</v>
      </c>
      <c r="S74" s="22">
        <f t="shared" ca="1" si="18"/>
        <v>0.05</v>
      </c>
      <c r="T74" s="22">
        <f t="shared" ca="1" si="19"/>
        <v>0.01</v>
      </c>
      <c r="U74" s="22">
        <f t="shared" ca="1" si="20"/>
        <v>0.01</v>
      </c>
      <c r="V74" s="22">
        <f t="shared" ca="1" si="21"/>
        <v>0.01</v>
      </c>
      <c r="W74" s="22"/>
      <c r="X74" s="22"/>
      <c r="Y74" s="22"/>
      <c r="Z74" s="22"/>
      <c r="AA74" s="22"/>
      <c r="AB74" s="22"/>
      <c r="AC74" s="22"/>
      <c r="AD74" s="22">
        <v>333</v>
      </c>
      <c r="AE74" s="22">
        <f t="shared" ca="1" si="23"/>
        <v>4.3333333333333335E-2</v>
      </c>
      <c r="AF74" s="22">
        <f t="shared" ca="1" si="24"/>
        <v>0.01</v>
      </c>
      <c r="AG74" s="22"/>
      <c r="AH74" s="6"/>
      <c r="AI74" s="28"/>
      <c r="AJ74" s="28"/>
      <c r="AK74" s="28"/>
      <c r="AL74" s="28"/>
      <c r="AM74" s="28"/>
      <c r="AN74" s="28"/>
    </row>
    <row r="75" spans="1:40" ht="15.75" x14ac:dyDescent="0.25">
      <c r="A75" s="10"/>
      <c r="B75" s="5"/>
      <c r="C75" s="11"/>
      <c r="D75" s="11"/>
      <c r="E75" s="11"/>
      <c r="F75" s="11"/>
      <c r="G75" s="11"/>
      <c r="H75" s="11"/>
      <c r="I75" s="2">
        <v>328</v>
      </c>
      <c r="J75" s="18">
        <v>4</v>
      </c>
      <c r="K75" s="18">
        <v>4</v>
      </c>
      <c r="L75" s="18">
        <v>5</v>
      </c>
      <c r="M75" s="18">
        <v>1</v>
      </c>
      <c r="N75" s="18">
        <v>1</v>
      </c>
      <c r="O75" s="18">
        <v>1</v>
      </c>
      <c r="P75" s="22">
        <v>355</v>
      </c>
      <c r="Q75" s="22">
        <f t="shared" ca="1" si="16"/>
        <v>0.04</v>
      </c>
      <c r="R75" s="22">
        <f t="shared" ca="1" si="17"/>
        <v>0.04</v>
      </c>
      <c r="S75" s="22">
        <f t="shared" ca="1" si="18"/>
        <v>0.05</v>
      </c>
      <c r="T75" s="22">
        <f t="shared" ca="1" si="19"/>
        <v>0.01</v>
      </c>
      <c r="U75" s="22">
        <f t="shared" ca="1" si="20"/>
        <v>0.01</v>
      </c>
      <c r="V75" s="22">
        <f t="shared" ca="1" si="21"/>
        <v>0.01</v>
      </c>
      <c r="W75" s="22"/>
      <c r="X75" s="22"/>
      <c r="Y75" s="22"/>
      <c r="Z75" s="22"/>
      <c r="AA75" s="22"/>
      <c r="AB75" s="22"/>
      <c r="AC75" s="22"/>
      <c r="AD75" s="22">
        <v>332</v>
      </c>
      <c r="AE75" s="22">
        <f t="shared" ca="1" si="23"/>
        <v>4.3333333333333335E-2</v>
      </c>
      <c r="AF75" s="22">
        <f t="shared" ca="1" si="24"/>
        <v>0.01</v>
      </c>
      <c r="AG75" s="22"/>
      <c r="AH75" s="6"/>
      <c r="AI75" s="28"/>
      <c r="AJ75" s="28"/>
      <c r="AK75" s="28"/>
      <c r="AL75" s="28"/>
      <c r="AM75" s="28"/>
      <c r="AN75" s="28"/>
    </row>
    <row r="76" spans="1:40" ht="15.75" x14ac:dyDescent="0.25">
      <c r="A76" s="10"/>
      <c r="B76" s="5"/>
      <c r="C76" s="11"/>
      <c r="D76" s="11"/>
      <c r="E76" s="11"/>
      <c r="F76" s="11"/>
      <c r="G76" s="11"/>
      <c r="H76" s="11"/>
      <c r="I76" s="2">
        <v>327</v>
      </c>
      <c r="J76" s="18">
        <v>4</v>
      </c>
      <c r="K76" s="18">
        <v>4</v>
      </c>
      <c r="L76" s="18">
        <v>5</v>
      </c>
      <c r="M76" s="18">
        <v>1</v>
      </c>
      <c r="N76" s="18">
        <v>1</v>
      </c>
      <c r="O76" s="18">
        <v>1</v>
      </c>
      <c r="P76" s="22">
        <v>354</v>
      </c>
      <c r="Q76" s="22">
        <f t="shared" ca="1" si="16"/>
        <v>0.04</v>
      </c>
      <c r="R76" s="22">
        <f t="shared" ca="1" si="17"/>
        <v>0.04</v>
      </c>
      <c r="S76" s="22">
        <f t="shared" ca="1" si="18"/>
        <v>0.05</v>
      </c>
      <c r="T76" s="22">
        <f t="shared" ca="1" si="19"/>
        <v>0.01</v>
      </c>
      <c r="U76" s="22">
        <f t="shared" ca="1" si="20"/>
        <v>0.01</v>
      </c>
      <c r="V76" s="22">
        <f t="shared" ca="1" si="21"/>
        <v>0.01</v>
      </c>
      <c r="W76" s="22"/>
      <c r="X76" s="22"/>
      <c r="Y76" s="22"/>
      <c r="Z76" s="22"/>
      <c r="AA76" s="22"/>
      <c r="AB76" s="22"/>
      <c r="AC76" s="22"/>
      <c r="AD76" s="22">
        <v>331</v>
      </c>
      <c r="AE76" s="22">
        <f t="shared" ca="1" si="23"/>
        <v>4.3333333333333335E-2</v>
      </c>
      <c r="AF76" s="22">
        <f t="shared" ca="1" si="24"/>
        <v>0.01</v>
      </c>
      <c r="AG76" s="22"/>
      <c r="AH76" s="6"/>
      <c r="AI76" s="28"/>
      <c r="AJ76" s="28"/>
      <c r="AK76" s="28"/>
      <c r="AL76" s="28"/>
      <c r="AM76" s="28"/>
      <c r="AN76" s="28"/>
    </row>
    <row r="77" spans="1:40" ht="15.75" x14ac:dyDescent="0.25">
      <c r="A77" s="10"/>
      <c r="B77" s="5"/>
      <c r="C77" s="11"/>
      <c r="D77" s="11"/>
      <c r="E77" s="11"/>
      <c r="F77" s="11"/>
      <c r="G77" s="11"/>
      <c r="H77" s="11"/>
      <c r="I77" s="2">
        <v>326</v>
      </c>
      <c r="J77" s="18">
        <v>4</v>
      </c>
      <c r="K77" s="18">
        <v>4</v>
      </c>
      <c r="L77" s="18">
        <v>5</v>
      </c>
      <c r="M77" s="18">
        <v>1</v>
      </c>
      <c r="N77" s="18">
        <v>1</v>
      </c>
      <c r="O77" s="18">
        <v>1</v>
      </c>
      <c r="P77" s="22">
        <v>353</v>
      </c>
      <c r="Q77" s="22">
        <f t="shared" ca="1" si="16"/>
        <v>0.04</v>
      </c>
      <c r="R77" s="22">
        <f t="shared" ca="1" si="17"/>
        <v>0.04</v>
      </c>
      <c r="S77" s="22">
        <f t="shared" ca="1" si="18"/>
        <v>0.05</v>
      </c>
      <c r="T77" s="22">
        <f t="shared" ca="1" si="19"/>
        <v>0.01</v>
      </c>
      <c r="U77" s="22">
        <f t="shared" ca="1" si="20"/>
        <v>0.01</v>
      </c>
      <c r="V77" s="22">
        <f t="shared" ca="1" si="21"/>
        <v>0.01</v>
      </c>
      <c r="W77" s="22"/>
      <c r="X77" s="22"/>
      <c r="Y77" s="22"/>
      <c r="Z77" s="22"/>
      <c r="AA77" s="22"/>
      <c r="AB77" s="22"/>
      <c r="AC77" s="22"/>
      <c r="AD77" s="22">
        <v>330</v>
      </c>
      <c r="AE77" s="22">
        <f t="shared" ca="1" si="23"/>
        <v>4.3333333333333335E-2</v>
      </c>
      <c r="AF77" s="22">
        <f t="shared" ca="1" si="24"/>
        <v>0.01</v>
      </c>
      <c r="AG77" s="22"/>
      <c r="AH77" s="6"/>
      <c r="AI77" s="28"/>
      <c r="AJ77" s="28"/>
      <c r="AK77" s="28"/>
      <c r="AL77" s="28"/>
      <c r="AM77" s="28"/>
      <c r="AN77" s="28"/>
    </row>
    <row r="78" spans="1:40" ht="15.75" x14ac:dyDescent="0.25">
      <c r="A78" s="10"/>
      <c r="B78" s="5"/>
      <c r="C78" s="11"/>
      <c r="D78" s="11"/>
      <c r="E78" s="11"/>
      <c r="F78" s="11"/>
      <c r="G78" s="11"/>
      <c r="H78" s="11"/>
      <c r="I78" s="2">
        <v>325</v>
      </c>
      <c r="J78" s="18">
        <v>4</v>
      </c>
      <c r="K78" s="18">
        <v>4</v>
      </c>
      <c r="L78" s="18">
        <v>5</v>
      </c>
      <c r="M78" s="18">
        <v>1</v>
      </c>
      <c r="N78" s="18">
        <v>1</v>
      </c>
      <c r="O78" s="18">
        <v>1</v>
      </c>
      <c r="P78" s="22">
        <v>352</v>
      </c>
      <c r="Q78" s="22">
        <f t="shared" ca="1" si="16"/>
        <v>0.04</v>
      </c>
      <c r="R78" s="22">
        <f t="shared" ca="1" si="17"/>
        <v>0.04</v>
      </c>
      <c r="S78" s="22">
        <f t="shared" ca="1" si="18"/>
        <v>0.05</v>
      </c>
      <c r="T78" s="22">
        <f t="shared" ca="1" si="19"/>
        <v>0.01</v>
      </c>
      <c r="U78" s="22">
        <f t="shared" ca="1" si="20"/>
        <v>0.01</v>
      </c>
      <c r="V78" s="22">
        <f t="shared" ca="1" si="21"/>
        <v>0.01</v>
      </c>
      <c r="W78" s="22"/>
      <c r="X78" s="22"/>
      <c r="Y78" s="22"/>
      <c r="Z78" s="22"/>
      <c r="AA78" s="22"/>
      <c r="AB78" s="22"/>
      <c r="AC78" s="22"/>
      <c r="AD78" s="22">
        <v>329</v>
      </c>
      <c r="AE78" s="22">
        <f t="shared" ca="1" si="23"/>
        <v>4.3333333333333335E-2</v>
      </c>
      <c r="AF78" s="22">
        <f t="shared" ca="1" si="24"/>
        <v>0.01</v>
      </c>
      <c r="AG78" s="22"/>
      <c r="AH78" s="6"/>
      <c r="AI78" s="28"/>
      <c r="AJ78" s="28"/>
      <c r="AK78" s="28"/>
      <c r="AL78" s="28"/>
      <c r="AM78" s="28"/>
      <c r="AN78" s="28"/>
    </row>
    <row r="79" spans="1:40" ht="15.75" x14ac:dyDescent="0.25">
      <c r="A79" s="10"/>
      <c r="B79" s="5"/>
      <c r="C79" s="11"/>
      <c r="D79" s="11"/>
      <c r="E79" s="11"/>
      <c r="F79" s="11"/>
      <c r="G79" s="11"/>
      <c r="H79" s="11"/>
      <c r="I79" s="2">
        <v>324</v>
      </c>
      <c r="J79" s="18">
        <v>4</v>
      </c>
      <c r="K79" s="18">
        <v>4</v>
      </c>
      <c r="L79" s="18">
        <v>5</v>
      </c>
      <c r="M79" s="18">
        <v>1</v>
      </c>
      <c r="N79" s="18">
        <v>1</v>
      </c>
      <c r="O79" s="18">
        <v>1</v>
      </c>
      <c r="P79" s="22">
        <v>351</v>
      </c>
      <c r="Q79" s="22">
        <f t="shared" ca="1" si="16"/>
        <v>0.04</v>
      </c>
      <c r="R79" s="22">
        <f t="shared" ca="1" si="17"/>
        <v>0.04</v>
      </c>
      <c r="S79" s="22">
        <f t="shared" ca="1" si="18"/>
        <v>0.05</v>
      </c>
      <c r="T79" s="22">
        <f t="shared" ca="1" si="19"/>
        <v>0.01</v>
      </c>
      <c r="U79" s="22">
        <f t="shared" ca="1" si="20"/>
        <v>0.01</v>
      </c>
      <c r="V79" s="22">
        <f t="shared" ca="1" si="21"/>
        <v>0.01</v>
      </c>
      <c r="W79" s="22"/>
      <c r="X79" s="22"/>
      <c r="Y79" s="22"/>
      <c r="Z79" s="22"/>
      <c r="AA79" s="22"/>
      <c r="AB79" s="22"/>
      <c r="AC79" s="22"/>
      <c r="AD79" s="22">
        <v>328</v>
      </c>
      <c r="AE79" s="22">
        <f t="shared" ca="1" si="23"/>
        <v>4.3333333333333335E-2</v>
      </c>
      <c r="AF79" s="22">
        <f t="shared" ca="1" si="24"/>
        <v>0.01</v>
      </c>
      <c r="AG79" s="22"/>
      <c r="AH79" s="6"/>
      <c r="AI79" s="28"/>
      <c r="AJ79" s="28"/>
      <c r="AK79" s="28"/>
      <c r="AL79" s="28"/>
      <c r="AM79" s="28"/>
      <c r="AN79" s="28"/>
    </row>
    <row r="80" spans="1:40" ht="15.75" x14ac:dyDescent="0.25">
      <c r="A80" s="10"/>
      <c r="B80" s="5"/>
      <c r="C80" s="11"/>
      <c r="D80" s="11"/>
      <c r="E80" s="11"/>
      <c r="F80" s="11"/>
      <c r="G80" s="11"/>
      <c r="H80" s="11"/>
      <c r="I80" s="2">
        <v>323</v>
      </c>
      <c r="J80" s="18">
        <v>4</v>
      </c>
      <c r="K80" s="18">
        <v>4</v>
      </c>
      <c r="L80" s="18">
        <v>5</v>
      </c>
      <c r="M80" s="18">
        <v>1</v>
      </c>
      <c r="N80" s="18">
        <v>1</v>
      </c>
      <c r="O80" s="18">
        <v>1</v>
      </c>
      <c r="P80" s="22">
        <v>350</v>
      </c>
      <c r="Q80" s="22">
        <f t="shared" ca="1" si="16"/>
        <v>0.04</v>
      </c>
      <c r="R80" s="22">
        <f t="shared" ca="1" si="17"/>
        <v>0.04</v>
      </c>
      <c r="S80" s="22">
        <f t="shared" ca="1" si="18"/>
        <v>0.05</v>
      </c>
      <c r="T80" s="22">
        <f t="shared" ca="1" si="19"/>
        <v>0</v>
      </c>
      <c r="U80" s="22">
        <f t="shared" ca="1" si="20"/>
        <v>0</v>
      </c>
      <c r="V80" s="22">
        <f t="shared" ca="1" si="21"/>
        <v>0</v>
      </c>
      <c r="W80" s="22"/>
      <c r="X80" s="22"/>
      <c r="Y80" s="22"/>
      <c r="Z80" s="22"/>
      <c r="AA80" s="22"/>
      <c r="AB80" s="22"/>
      <c r="AC80" s="22"/>
      <c r="AD80" s="22">
        <v>327</v>
      </c>
      <c r="AE80" s="22">
        <f t="shared" ca="1" si="23"/>
        <v>4.3333333333333335E-2</v>
      </c>
      <c r="AF80" s="22">
        <f t="shared" ca="1" si="24"/>
        <v>0.01</v>
      </c>
      <c r="AG80" s="22"/>
      <c r="AH80" s="6"/>
      <c r="AI80" s="28"/>
      <c r="AJ80" s="28"/>
      <c r="AK80" s="28"/>
      <c r="AL80" s="28"/>
      <c r="AM80" s="28"/>
      <c r="AN80" s="28"/>
    </row>
    <row r="81" spans="1:40" ht="15.75" x14ac:dyDescent="0.25">
      <c r="A81" s="10"/>
      <c r="B81" s="5"/>
      <c r="C81" s="11"/>
      <c r="D81" s="11"/>
      <c r="E81" s="11"/>
      <c r="F81" s="11"/>
      <c r="G81" s="11"/>
      <c r="H81" s="11"/>
      <c r="I81" s="2">
        <v>322</v>
      </c>
      <c r="J81" s="18">
        <v>4</v>
      </c>
      <c r="K81" s="18">
        <v>4</v>
      </c>
      <c r="L81" s="18">
        <v>5</v>
      </c>
      <c r="M81" s="18">
        <v>1</v>
      </c>
      <c r="N81" s="18">
        <v>1</v>
      </c>
      <c r="O81" s="18">
        <v>1</v>
      </c>
      <c r="P81" s="22">
        <v>349</v>
      </c>
      <c r="Q81" s="22">
        <f t="shared" ca="1" si="16"/>
        <v>0.04</v>
      </c>
      <c r="R81" s="22">
        <f t="shared" ca="1" si="17"/>
        <v>0.04</v>
      </c>
      <c r="S81" s="22">
        <f t="shared" ca="1" si="18"/>
        <v>0.05</v>
      </c>
      <c r="T81" s="22">
        <f t="shared" ca="1" si="19"/>
        <v>0.01</v>
      </c>
      <c r="U81" s="22">
        <f t="shared" ca="1" si="20"/>
        <v>0.01</v>
      </c>
      <c r="V81" s="22">
        <f t="shared" ca="1" si="21"/>
        <v>0.01</v>
      </c>
      <c r="W81" s="22"/>
      <c r="X81" s="22"/>
      <c r="Y81" s="22"/>
      <c r="Z81" s="22"/>
      <c r="AA81" s="22"/>
      <c r="AB81" s="22"/>
      <c r="AC81" s="22"/>
      <c r="AD81" s="22">
        <v>326</v>
      </c>
      <c r="AE81" s="22">
        <f t="shared" ca="1" si="23"/>
        <v>4.3333333333333335E-2</v>
      </c>
      <c r="AF81" s="22">
        <f t="shared" ca="1" si="24"/>
        <v>0.01</v>
      </c>
      <c r="AG81" s="22"/>
      <c r="AH81" s="6"/>
      <c r="AI81" s="28"/>
      <c r="AJ81" s="28"/>
      <c r="AK81" s="28"/>
      <c r="AL81" s="28"/>
      <c r="AM81" s="28"/>
      <c r="AN81" s="28"/>
    </row>
    <row r="82" spans="1:40" ht="15.75" x14ac:dyDescent="0.25">
      <c r="A82" s="10"/>
      <c r="B82" s="5"/>
      <c r="C82" s="11"/>
      <c r="D82" s="11"/>
      <c r="E82" s="11"/>
      <c r="F82" s="11"/>
      <c r="G82" s="11"/>
      <c r="H82" s="11"/>
      <c r="I82" s="2">
        <v>321</v>
      </c>
      <c r="J82" s="18">
        <v>4</v>
      </c>
      <c r="K82" s="18">
        <v>4</v>
      </c>
      <c r="L82" s="18">
        <v>5</v>
      </c>
      <c r="M82" s="18">
        <v>1</v>
      </c>
      <c r="N82" s="18">
        <v>1</v>
      </c>
      <c r="O82" s="18">
        <v>1</v>
      </c>
      <c r="P82" s="22">
        <v>348</v>
      </c>
      <c r="Q82" s="22">
        <f t="shared" ca="1" si="16"/>
        <v>0.04</v>
      </c>
      <c r="R82" s="22">
        <f t="shared" ca="1" si="17"/>
        <v>0.04</v>
      </c>
      <c r="S82" s="22">
        <f t="shared" ca="1" si="18"/>
        <v>0.05</v>
      </c>
      <c r="T82" s="22">
        <f t="shared" ca="1" si="19"/>
        <v>0.01</v>
      </c>
      <c r="U82" s="22">
        <f t="shared" ca="1" si="20"/>
        <v>0.01</v>
      </c>
      <c r="V82" s="22">
        <f t="shared" ca="1" si="21"/>
        <v>0.01</v>
      </c>
      <c r="W82" s="22"/>
      <c r="X82" s="22"/>
      <c r="Y82" s="22"/>
      <c r="Z82" s="22"/>
      <c r="AA82" s="22"/>
      <c r="AB82" s="22"/>
      <c r="AC82" s="22"/>
      <c r="AD82" s="22">
        <v>325</v>
      </c>
      <c r="AE82" s="22">
        <f t="shared" ca="1" si="23"/>
        <v>4.3333333333333335E-2</v>
      </c>
      <c r="AF82" s="22">
        <f t="shared" ca="1" si="24"/>
        <v>0.01</v>
      </c>
      <c r="AG82" s="22"/>
      <c r="AH82" s="6"/>
      <c r="AI82" s="28"/>
      <c r="AJ82" s="28"/>
      <c r="AK82" s="28"/>
      <c r="AL82" s="28"/>
      <c r="AM82" s="28"/>
      <c r="AN82" s="28"/>
    </row>
    <row r="83" spans="1:40" ht="15.75" x14ac:dyDescent="0.25">
      <c r="A83" s="10"/>
      <c r="B83" s="5"/>
      <c r="C83" s="11"/>
      <c r="D83" s="11"/>
      <c r="E83" s="11"/>
      <c r="F83" s="11"/>
      <c r="G83" s="11"/>
      <c r="H83" s="11"/>
      <c r="I83" s="2">
        <v>320</v>
      </c>
      <c r="J83" s="18">
        <v>4</v>
      </c>
      <c r="K83" s="18">
        <v>4</v>
      </c>
      <c r="L83" s="18">
        <v>5</v>
      </c>
      <c r="M83" s="18">
        <v>1</v>
      </c>
      <c r="N83" s="18">
        <v>1</v>
      </c>
      <c r="O83" s="18">
        <v>1</v>
      </c>
      <c r="P83" s="22">
        <v>347</v>
      </c>
      <c r="Q83" s="22">
        <f t="shared" ca="1" si="16"/>
        <v>0.04</v>
      </c>
      <c r="R83" s="22">
        <f t="shared" ca="1" si="17"/>
        <v>0.04</v>
      </c>
      <c r="S83" s="22">
        <f t="shared" ca="1" si="18"/>
        <v>0.05</v>
      </c>
      <c r="T83" s="22">
        <f t="shared" ca="1" si="19"/>
        <v>0.01</v>
      </c>
      <c r="U83" s="22">
        <f t="shared" ca="1" si="20"/>
        <v>0.01</v>
      </c>
      <c r="V83" s="22">
        <f t="shared" ca="1" si="21"/>
        <v>0.01</v>
      </c>
      <c r="W83" s="22"/>
      <c r="X83" s="22"/>
      <c r="Y83" s="22"/>
      <c r="Z83" s="22"/>
      <c r="AA83" s="22"/>
      <c r="AB83" s="22"/>
      <c r="AC83" s="22"/>
      <c r="AD83" s="22">
        <v>324</v>
      </c>
      <c r="AE83" s="22">
        <f t="shared" ca="1" si="23"/>
        <v>4.3333333333333335E-2</v>
      </c>
      <c r="AF83" s="22">
        <f t="shared" ca="1" si="24"/>
        <v>0.01</v>
      </c>
      <c r="AG83" s="22"/>
      <c r="AH83" s="6"/>
      <c r="AI83" s="28"/>
      <c r="AJ83" s="28"/>
      <c r="AK83" s="28"/>
      <c r="AL83" s="28"/>
      <c r="AM83" s="28"/>
      <c r="AN83" s="28"/>
    </row>
    <row r="84" spans="1:40" ht="15.75" x14ac:dyDescent="0.25">
      <c r="A84" s="10"/>
      <c r="B84" s="5"/>
      <c r="C84" s="11"/>
      <c r="D84" s="11"/>
      <c r="E84" s="11"/>
      <c r="F84" s="11"/>
      <c r="G84" s="11"/>
      <c r="H84" s="11"/>
      <c r="I84" s="2">
        <v>319</v>
      </c>
      <c r="J84" s="18">
        <v>4</v>
      </c>
      <c r="K84" s="18">
        <v>4</v>
      </c>
      <c r="L84" s="18">
        <v>5</v>
      </c>
      <c r="M84" s="18">
        <v>1</v>
      </c>
      <c r="N84" s="18">
        <v>1</v>
      </c>
      <c r="O84" s="18">
        <v>1</v>
      </c>
      <c r="P84" s="22">
        <v>346</v>
      </c>
      <c r="Q84" s="22">
        <f t="shared" ca="1" si="16"/>
        <v>0.04</v>
      </c>
      <c r="R84" s="22">
        <f t="shared" ca="1" si="17"/>
        <v>0.04</v>
      </c>
      <c r="S84" s="22">
        <f t="shared" ca="1" si="18"/>
        <v>0.05</v>
      </c>
      <c r="T84" s="22">
        <f t="shared" ca="1" si="19"/>
        <v>0.01</v>
      </c>
      <c r="U84" s="22">
        <f t="shared" ca="1" si="20"/>
        <v>0.01</v>
      </c>
      <c r="V84" s="22">
        <f t="shared" ca="1" si="21"/>
        <v>0.01</v>
      </c>
      <c r="W84" s="22"/>
      <c r="X84" s="22"/>
      <c r="Y84" s="22"/>
      <c r="Z84" s="22"/>
      <c r="AA84" s="22"/>
      <c r="AB84" s="22"/>
      <c r="AC84" s="22"/>
      <c r="AD84" s="22">
        <v>323</v>
      </c>
      <c r="AE84" s="22">
        <f t="shared" ca="1" si="23"/>
        <v>4.3333333333333335E-2</v>
      </c>
      <c r="AF84" s="22">
        <f t="shared" ca="1" si="24"/>
        <v>0.01</v>
      </c>
      <c r="AG84" s="22"/>
      <c r="AH84" s="6"/>
      <c r="AI84" s="28"/>
      <c r="AJ84" s="28"/>
      <c r="AK84" s="28"/>
      <c r="AL84" s="28"/>
      <c r="AM84" s="28"/>
      <c r="AN84" s="28"/>
    </row>
    <row r="85" spans="1:40" ht="15.75" x14ac:dyDescent="0.25">
      <c r="A85" s="10"/>
      <c r="B85" s="5"/>
      <c r="C85" s="11"/>
      <c r="D85" s="11"/>
      <c r="E85" s="11"/>
      <c r="F85" s="11"/>
      <c r="G85" s="11"/>
      <c r="H85" s="11"/>
      <c r="I85" s="2">
        <v>318</v>
      </c>
      <c r="J85" s="18">
        <v>4</v>
      </c>
      <c r="K85" s="18">
        <v>4</v>
      </c>
      <c r="L85" s="18">
        <v>5</v>
      </c>
      <c r="M85" s="18">
        <v>1</v>
      </c>
      <c r="N85" s="18">
        <v>1</v>
      </c>
      <c r="O85" s="18">
        <v>1</v>
      </c>
      <c r="P85" s="22">
        <v>345</v>
      </c>
      <c r="Q85" s="22">
        <f t="shared" ca="1" si="16"/>
        <v>0.04</v>
      </c>
      <c r="R85" s="22">
        <f t="shared" ca="1" si="17"/>
        <v>0.04</v>
      </c>
      <c r="S85" s="22">
        <f t="shared" ca="1" si="18"/>
        <v>0.05</v>
      </c>
      <c r="T85" s="22">
        <f t="shared" ca="1" si="19"/>
        <v>0.01</v>
      </c>
      <c r="U85" s="22">
        <f t="shared" ca="1" si="20"/>
        <v>0.01</v>
      </c>
      <c r="V85" s="22">
        <f t="shared" ca="1" si="21"/>
        <v>0.01</v>
      </c>
      <c r="W85" s="22"/>
      <c r="X85" s="22"/>
      <c r="Y85" s="22"/>
      <c r="Z85" s="22"/>
      <c r="AA85" s="22"/>
      <c r="AB85" s="22"/>
      <c r="AC85" s="22"/>
      <c r="AD85" s="22">
        <v>322</v>
      </c>
      <c r="AE85" s="22">
        <f t="shared" ca="1" si="23"/>
        <v>4.3333333333333335E-2</v>
      </c>
      <c r="AF85" s="22">
        <f t="shared" ca="1" si="24"/>
        <v>0.01</v>
      </c>
      <c r="AG85" s="22"/>
      <c r="AH85" s="6"/>
      <c r="AI85" s="28"/>
      <c r="AJ85" s="28"/>
      <c r="AK85" s="28"/>
      <c r="AL85" s="28"/>
      <c r="AM85" s="28"/>
      <c r="AN85" s="28"/>
    </row>
    <row r="86" spans="1:40" ht="15.75" x14ac:dyDescent="0.25">
      <c r="A86" s="10"/>
      <c r="B86" s="5"/>
      <c r="C86" s="11"/>
      <c r="D86" s="11"/>
      <c r="E86" s="11"/>
      <c r="F86" s="11"/>
      <c r="G86" s="11"/>
      <c r="H86" s="11"/>
      <c r="I86" s="2">
        <v>317</v>
      </c>
      <c r="J86" s="18">
        <v>4</v>
      </c>
      <c r="K86" s="18">
        <v>4</v>
      </c>
      <c r="L86" s="18">
        <v>5</v>
      </c>
      <c r="M86" s="18">
        <v>1</v>
      </c>
      <c r="N86" s="18">
        <v>1</v>
      </c>
      <c r="O86" s="18">
        <v>1</v>
      </c>
      <c r="P86" s="22">
        <v>344</v>
      </c>
      <c r="Q86" s="22">
        <f t="shared" ca="1" si="16"/>
        <v>0.04</v>
      </c>
      <c r="R86" s="22">
        <f t="shared" ca="1" si="17"/>
        <v>0.04</v>
      </c>
      <c r="S86" s="22">
        <f t="shared" ca="1" si="18"/>
        <v>0.05</v>
      </c>
      <c r="T86" s="22">
        <f t="shared" ca="1" si="19"/>
        <v>0.01</v>
      </c>
      <c r="U86" s="22">
        <f t="shared" ca="1" si="20"/>
        <v>0.01</v>
      </c>
      <c r="V86" s="22">
        <f t="shared" ca="1" si="21"/>
        <v>0.01</v>
      </c>
      <c r="W86" s="22"/>
      <c r="X86" s="22"/>
      <c r="Y86" s="22"/>
      <c r="Z86" s="22"/>
      <c r="AA86" s="22"/>
      <c r="AB86" s="22"/>
      <c r="AC86" s="22"/>
      <c r="AD86" s="22">
        <v>321</v>
      </c>
      <c r="AE86" s="22">
        <f t="shared" ca="1" si="23"/>
        <v>4.3333333333333335E-2</v>
      </c>
      <c r="AF86" s="22">
        <f t="shared" ca="1" si="24"/>
        <v>0.01</v>
      </c>
      <c r="AG86" s="22"/>
      <c r="AH86" s="6"/>
      <c r="AI86" s="28"/>
      <c r="AJ86" s="28"/>
      <c r="AK86" s="28"/>
      <c r="AL86" s="28"/>
      <c r="AM86" s="28"/>
      <c r="AN86" s="28"/>
    </row>
    <row r="87" spans="1:40" ht="15.75" x14ac:dyDescent="0.25">
      <c r="A87" s="10"/>
      <c r="B87" s="5"/>
      <c r="C87" s="11"/>
      <c r="D87" s="11"/>
      <c r="E87" s="11"/>
      <c r="F87" s="11"/>
      <c r="G87" s="11"/>
      <c r="H87" s="11"/>
      <c r="I87" s="2">
        <v>316</v>
      </c>
      <c r="J87" s="18">
        <v>4</v>
      </c>
      <c r="K87" s="18">
        <v>4</v>
      </c>
      <c r="L87" s="18">
        <v>5</v>
      </c>
      <c r="M87" s="18">
        <v>1</v>
      </c>
      <c r="N87" s="18">
        <v>1</v>
      </c>
      <c r="O87" s="18">
        <v>1</v>
      </c>
      <c r="P87" s="22">
        <v>343</v>
      </c>
      <c r="Q87" s="22">
        <f t="shared" ca="1" si="16"/>
        <v>0.04</v>
      </c>
      <c r="R87" s="22">
        <f t="shared" ca="1" si="17"/>
        <v>0.04</v>
      </c>
      <c r="S87" s="22">
        <f t="shared" ca="1" si="18"/>
        <v>0.05</v>
      </c>
      <c r="T87" s="22">
        <f t="shared" ca="1" si="19"/>
        <v>0.01</v>
      </c>
      <c r="U87" s="22">
        <f t="shared" ca="1" si="20"/>
        <v>0.01</v>
      </c>
      <c r="V87" s="22">
        <f t="shared" ca="1" si="21"/>
        <v>0.01</v>
      </c>
      <c r="W87" s="22"/>
      <c r="X87" s="22"/>
      <c r="Y87" s="22"/>
      <c r="Z87" s="22"/>
      <c r="AA87" s="22"/>
      <c r="AB87" s="22"/>
      <c r="AC87" s="22"/>
      <c r="AD87" s="22">
        <v>320</v>
      </c>
      <c r="AE87" s="22">
        <f t="shared" ca="1" si="23"/>
        <v>4.3333333333333335E-2</v>
      </c>
      <c r="AF87" s="22">
        <f t="shared" ca="1" si="24"/>
        <v>0.01</v>
      </c>
      <c r="AG87" s="22"/>
      <c r="AH87" s="6"/>
      <c r="AI87" s="28"/>
      <c r="AJ87" s="28"/>
      <c r="AK87" s="28"/>
      <c r="AL87" s="28"/>
      <c r="AM87" s="28"/>
      <c r="AN87" s="28"/>
    </row>
    <row r="88" spans="1:40" ht="15.75" x14ac:dyDescent="0.25">
      <c r="A88" s="10"/>
      <c r="B88" s="5"/>
      <c r="C88" s="11"/>
      <c r="D88" s="11"/>
      <c r="E88" s="11"/>
      <c r="F88" s="11"/>
      <c r="G88" s="11"/>
      <c r="H88" s="11"/>
      <c r="I88" s="2">
        <v>315</v>
      </c>
      <c r="J88" s="18">
        <v>4</v>
      </c>
      <c r="K88" s="18">
        <v>4</v>
      </c>
      <c r="L88" s="18">
        <v>5</v>
      </c>
      <c r="M88" s="18">
        <v>1</v>
      </c>
      <c r="N88" s="18">
        <v>1</v>
      </c>
      <c r="O88" s="18">
        <v>1</v>
      </c>
      <c r="P88" s="22">
        <v>342</v>
      </c>
      <c r="Q88" s="22">
        <f t="shared" ca="1" si="16"/>
        <v>0.04</v>
      </c>
      <c r="R88" s="22">
        <f t="shared" ca="1" si="17"/>
        <v>0.04</v>
      </c>
      <c r="S88" s="22">
        <f t="shared" ca="1" si="18"/>
        <v>0.05</v>
      </c>
      <c r="T88" s="22">
        <f t="shared" ca="1" si="19"/>
        <v>0.01</v>
      </c>
      <c r="U88" s="22">
        <f t="shared" ca="1" si="20"/>
        <v>0.01</v>
      </c>
      <c r="V88" s="22">
        <f t="shared" ca="1" si="21"/>
        <v>0.01</v>
      </c>
      <c r="W88" s="22"/>
      <c r="X88" s="22"/>
      <c r="Y88" s="22"/>
      <c r="Z88" s="22"/>
      <c r="AA88" s="22"/>
      <c r="AB88" s="22"/>
      <c r="AC88" s="22"/>
      <c r="AD88" s="22">
        <v>319</v>
      </c>
      <c r="AE88" s="22">
        <f t="shared" ca="1" si="23"/>
        <v>4.3333333333333335E-2</v>
      </c>
      <c r="AF88" s="22">
        <f t="shared" ca="1" si="24"/>
        <v>0.01</v>
      </c>
      <c r="AG88" s="22"/>
      <c r="AH88" s="6"/>
      <c r="AI88" s="28"/>
      <c r="AJ88" s="28"/>
      <c r="AK88" s="28"/>
      <c r="AL88" s="28"/>
      <c r="AM88" s="28"/>
      <c r="AN88" s="28"/>
    </row>
    <row r="89" spans="1:40" ht="15.75" x14ac:dyDescent="0.25">
      <c r="A89" s="10"/>
      <c r="B89" s="5"/>
      <c r="C89" s="11"/>
      <c r="D89" s="11"/>
      <c r="E89" s="11"/>
      <c r="F89" s="11"/>
      <c r="G89" s="11"/>
      <c r="H89" s="11"/>
      <c r="I89" s="2">
        <v>314</v>
      </c>
      <c r="J89" s="18">
        <v>4</v>
      </c>
      <c r="K89" s="18">
        <v>4</v>
      </c>
      <c r="L89" s="18">
        <v>5</v>
      </c>
      <c r="M89" s="18">
        <v>1</v>
      </c>
      <c r="N89" s="18">
        <v>1</v>
      </c>
      <c r="O89" s="18">
        <v>1</v>
      </c>
      <c r="P89" s="22">
        <v>341</v>
      </c>
      <c r="Q89" s="22">
        <f t="shared" ca="1" si="16"/>
        <v>0.04</v>
      </c>
      <c r="R89" s="22">
        <f t="shared" ca="1" si="17"/>
        <v>0.04</v>
      </c>
      <c r="S89" s="22">
        <f t="shared" ca="1" si="18"/>
        <v>0.05</v>
      </c>
      <c r="T89" s="22">
        <f t="shared" ca="1" si="19"/>
        <v>0.01</v>
      </c>
      <c r="U89" s="22">
        <f t="shared" ca="1" si="20"/>
        <v>0.01</v>
      </c>
      <c r="V89" s="22">
        <f t="shared" ca="1" si="21"/>
        <v>0.01</v>
      </c>
      <c r="W89" s="22"/>
      <c r="X89" s="22"/>
      <c r="Y89" s="22"/>
      <c r="Z89" s="22"/>
      <c r="AA89" s="22"/>
      <c r="AB89" s="22"/>
      <c r="AC89" s="22"/>
      <c r="AD89" s="22">
        <v>318</v>
      </c>
      <c r="AE89" s="22">
        <f t="shared" ca="1" si="23"/>
        <v>4.3333333333333335E-2</v>
      </c>
      <c r="AF89" s="22">
        <f t="shared" ca="1" si="24"/>
        <v>0.01</v>
      </c>
      <c r="AG89" s="22"/>
      <c r="AH89" s="6"/>
      <c r="AI89" s="28"/>
      <c r="AJ89" s="28"/>
      <c r="AK89" s="28"/>
      <c r="AL89" s="28"/>
      <c r="AM89" s="28"/>
      <c r="AN89" s="28"/>
    </row>
    <row r="90" spans="1:40" ht="15.75" x14ac:dyDescent="0.25">
      <c r="A90" s="10"/>
      <c r="B90" s="5"/>
      <c r="C90" s="11"/>
      <c r="D90" s="11"/>
      <c r="E90" s="11"/>
      <c r="F90" s="11"/>
      <c r="G90" s="11"/>
      <c r="H90" s="11"/>
      <c r="I90" s="2">
        <v>313</v>
      </c>
      <c r="J90" s="18">
        <v>4</v>
      </c>
      <c r="K90" s="18">
        <v>4</v>
      </c>
      <c r="L90" s="18">
        <v>5</v>
      </c>
      <c r="M90" s="18">
        <v>1</v>
      </c>
      <c r="N90" s="18">
        <v>1</v>
      </c>
      <c r="O90" s="18">
        <v>1</v>
      </c>
      <c r="P90" s="22">
        <v>340</v>
      </c>
      <c r="Q90" s="22">
        <f t="shared" ca="1" si="16"/>
        <v>0.04</v>
      </c>
      <c r="R90" s="22">
        <f t="shared" ca="1" si="17"/>
        <v>0.04</v>
      </c>
      <c r="S90" s="22">
        <f t="shared" ca="1" si="18"/>
        <v>0.05</v>
      </c>
      <c r="T90" s="22">
        <f t="shared" ca="1" si="19"/>
        <v>0.01</v>
      </c>
      <c r="U90" s="22">
        <f t="shared" ca="1" si="20"/>
        <v>0.01</v>
      </c>
      <c r="V90" s="22">
        <f t="shared" ca="1" si="21"/>
        <v>0.01</v>
      </c>
      <c r="W90" s="22"/>
      <c r="X90" s="22"/>
      <c r="Y90" s="22"/>
      <c r="Z90" s="22"/>
      <c r="AA90" s="22"/>
      <c r="AB90" s="22"/>
      <c r="AC90" s="22"/>
      <c r="AD90" s="22">
        <v>317</v>
      </c>
      <c r="AE90" s="22">
        <f t="shared" ca="1" si="23"/>
        <v>4.3333333333333335E-2</v>
      </c>
      <c r="AF90" s="22">
        <f t="shared" ca="1" si="24"/>
        <v>0.01</v>
      </c>
      <c r="AG90" s="22"/>
      <c r="AH90" s="6"/>
      <c r="AI90" s="28"/>
      <c r="AJ90" s="28"/>
      <c r="AK90" s="28"/>
      <c r="AL90" s="28"/>
      <c r="AM90" s="28"/>
      <c r="AN90" s="28"/>
    </row>
    <row r="91" spans="1:40" ht="15.75" x14ac:dyDescent="0.25">
      <c r="A91" s="10"/>
      <c r="B91" s="5"/>
      <c r="C91" s="11"/>
      <c r="D91" s="11"/>
      <c r="E91" s="11"/>
      <c r="F91" s="11"/>
      <c r="G91" s="11"/>
      <c r="H91" s="11"/>
      <c r="I91" s="2">
        <v>312</v>
      </c>
      <c r="J91" s="18">
        <v>4</v>
      </c>
      <c r="K91" s="18">
        <v>4</v>
      </c>
      <c r="L91" s="18">
        <v>5</v>
      </c>
      <c r="M91" s="18">
        <v>1</v>
      </c>
      <c r="N91" s="18">
        <v>1</v>
      </c>
      <c r="O91" s="18">
        <v>1</v>
      </c>
      <c r="P91" s="22">
        <v>339</v>
      </c>
      <c r="Q91" s="22">
        <f t="shared" ca="1" si="16"/>
        <v>0.04</v>
      </c>
      <c r="R91" s="22">
        <f t="shared" ca="1" si="17"/>
        <v>0.04</v>
      </c>
      <c r="S91" s="22">
        <f t="shared" ca="1" si="18"/>
        <v>0.05</v>
      </c>
      <c r="T91" s="22">
        <f t="shared" ca="1" si="19"/>
        <v>0.01</v>
      </c>
      <c r="U91" s="22">
        <f t="shared" ca="1" si="20"/>
        <v>0.01</v>
      </c>
      <c r="V91" s="22">
        <f t="shared" ca="1" si="21"/>
        <v>0.01</v>
      </c>
      <c r="W91" s="22"/>
      <c r="X91" s="22"/>
      <c r="Y91" s="22"/>
      <c r="Z91" s="22"/>
      <c r="AA91" s="22"/>
      <c r="AB91" s="22"/>
      <c r="AC91" s="22"/>
      <c r="AD91" s="22">
        <v>316</v>
      </c>
      <c r="AE91" s="22">
        <f t="shared" ca="1" si="23"/>
        <v>4.3333333333333335E-2</v>
      </c>
      <c r="AF91" s="22">
        <f t="shared" ca="1" si="24"/>
        <v>0.01</v>
      </c>
      <c r="AG91" s="22"/>
      <c r="AH91" s="6"/>
      <c r="AI91" s="28"/>
      <c r="AJ91" s="28"/>
      <c r="AK91" s="28"/>
      <c r="AL91" s="28"/>
      <c r="AM91" s="28"/>
      <c r="AN91" s="28"/>
    </row>
    <row r="92" spans="1:40" ht="15.75" x14ac:dyDescent="0.25">
      <c r="A92" s="10"/>
      <c r="B92" s="5"/>
      <c r="C92" s="11"/>
      <c r="D92" s="11"/>
      <c r="E92" s="11"/>
      <c r="F92" s="11"/>
      <c r="G92" s="11"/>
      <c r="H92" s="11"/>
      <c r="I92" s="2">
        <v>311</v>
      </c>
      <c r="J92" s="18">
        <v>4</v>
      </c>
      <c r="K92" s="18">
        <v>4</v>
      </c>
      <c r="L92" s="18">
        <v>5</v>
      </c>
      <c r="M92" s="18">
        <v>1</v>
      </c>
      <c r="N92" s="18">
        <v>1</v>
      </c>
      <c r="O92" s="18">
        <v>1</v>
      </c>
      <c r="P92" s="22">
        <v>338</v>
      </c>
      <c r="Q92" s="22">
        <f t="shared" ca="1" si="16"/>
        <v>0.04</v>
      </c>
      <c r="R92" s="22">
        <f t="shared" ca="1" si="17"/>
        <v>0.04</v>
      </c>
      <c r="S92" s="22">
        <f t="shared" ca="1" si="18"/>
        <v>0.05</v>
      </c>
      <c r="T92" s="22">
        <f t="shared" ca="1" si="19"/>
        <v>0.01</v>
      </c>
      <c r="U92" s="22">
        <f t="shared" ca="1" si="20"/>
        <v>0.01</v>
      </c>
      <c r="V92" s="22">
        <f t="shared" ca="1" si="21"/>
        <v>0.01</v>
      </c>
      <c r="W92" s="22"/>
      <c r="X92" s="22"/>
      <c r="Y92" s="22"/>
      <c r="Z92" s="22"/>
      <c r="AA92" s="22"/>
      <c r="AB92" s="22"/>
      <c r="AC92" s="22"/>
      <c r="AD92" s="22">
        <v>315</v>
      </c>
      <c r="AE92" s="22">
        <f t="shared" ca="1" si="23"/>
        <v>4.3333333333333335E-2</v>
      </c>
      <c r="AF92" s="22">
        <f t="shared" ca="1" si="24"/>
        <v>0.01</v>
      </c>
      <c r="AG92" s="22"/>
      <c r="AH92" s="6"/>
      <c r="AI92" s="28"/>
      <c r="AJ92" s="28"/>
      <c r="AK92" s="28"/>
      <c r="AL92" s="28"/>
      <c r="AM92" s="28"/>
      <c r="AN92" s="28"/>
    </row>
    <row r="93" spans="1:40" ht="15.75" x14ac:dyDescent="0.25">
      <c r="A93" s="10"/>
      <c r="B93" s="5"/>
      <c r="C93" s="11"/>
      <c r="D93" s="11"/>
      <c r="E93" s="11"/>
      <c r="F93" s="11"/>
      <c r="G93" s="11"/>
      <c r="H93" s="11"/>
      <c r="I93" s="2">
        <v>310</v>
      </c>
      <c r="J93" s="18">
        <v>4</v>
      </c>
      <c r="K93" s="18">
        <v>4</v>
      </c>
      <c r="L93" s="18">
        <v>5</v>
      </c>
      <c r="M93" s="18">
        <v>1</v>
      </c>
      <c r="N93" s="18">
        <v>1</v>
      </c>
      <c r="O93" s="18">
        <v>1</v>
      </c>
      <c r="P93" s="22">
        <v>337</v>
      </c>
      <c r="Q93" s="22">
        <f t="shared" ca="1" si="16"/>
        <v>0.04</v>
      </c>
      <c r="R93" s="22">
        <f t="shared" ca="1" si="17"/>
        <v>0.04</v>
      </c>
      <c r="S93" s="22">
        <f t="shared" ca="1" si="18"/>
        <v>0.05</v>
      </c>
      <c r="T93" s="22">
        <f t="shared" ca="1" si="19"/>
        <v>0.01</v>
      </c>
      <c r="U93" s="22">
        <f t="shared" ca="1" si="20"/>
        <v>0.01</v>
      </c>
      <c r="V93" s="22">
        <f t="shared" ca="1" si="21"/>
        <v>0.01</v>
      </c>
      <c r="W93" s="22"/>
      <c r="X93" s="22"/>
      <c r="Y93" s="22"/>
      <c r="Z93" s="22"/>
      <c r="AA93" s="22"/>
      <c r="AB93" s="22"/>
      <c r="AC93" s="22"/>
      <c r="AD93" s="22" t="s">
        <v>135</v>
      </c>
      <c r="AE93" s="22">
        <f t="shared" ref="AE93:AF93" ca="1" si="25">SUM(AE7:AE92)</f>
        <v>3.900000000000007</v>
      </c>
      <c r="AF93" s="22">
        <f t="shared" ca="1" si="25"/>
        <v>0.99154761904761968</v>
      </c>
      <c r="AG93" s="22"/>
      <c r="AH93" s="22"/>
      <c r="AI93" s="30"/>
      <c r="AJ93" s="30"/>
      <c r="AK93" s="30"/>
      <c r="AL93" s="30"/>
      <c r="AM93" s="30"/>
      <c r="AN93" s="30"/>
    </row>
    <row r="94" spans="1:40" ht="15.75" x14ac:dyDescent="0.25">
      <c r="A94" s="10"/>
      <c r="B94" s="5"/>
      <c r="C94" s="11"/>
      <c r="D94" s="11"/>
      <c r="E94" s="11"/>
      <c r="F94" s="11"/>
      <c r="G94" s="11"/>
      <c r="H94" s="11"/>
      <c r="I94" s="2">
        <v>309</v>
      </c>
      <c r="J94" s="18">
        <v>4</v>
      </c>
      <c r="K94" s="18">
        <v>4</v>
      </c>
      <c r="L94" s="18">
        <v>5</v>
      </c>
      <c r="M94" s="18">
        <v>1</v>
      </c>
      <c r="N94" s="18">
        <v>1</v>
      </c>
      <c r="O94" s="18">
        <v>1</v>
      </c>
      <c r="P94" s="22">
        <v>336</v>
      </c>
      <c r="Q94" s="22">
        <f t="shared" ca="1" si="16"/>
        <v>0.04</v>
      </c>
      <c r="R94" s="22">
        <f t="shared" ca="1" si="17"/>
        <v>0.04</v>
      </c>
      <c r="S94" s="22">
        <f t="shared" ca="1" si="18"/>
        <v>0.05</v>
      </c>
      <c r="T94" s="22">
        <f t="shared" ca="1" si="19"/>
        <v>0.01</v>
      </c>
      <c r="U94" s="22">
        <f t="shared" ca="1" si="20"/>
        <v>0.01</v>
      </c>
      <c r="V94" s="22">
        <f t="shared" ca="1" si="21"/>
        <v>0.01</v>
      </c>
      <c r="W94" s="22"/>
      <c r="X94" s="22"/>
      <c r="Y94" s="22"/>
      <c r="Z94" s="22"/>
      <c r="AA94" s="22"/>
      <c r="AB94" s="22"/>
      <c r="AC94" s="22"/>
      <c r="AD94" s="22" t="s">
        <v>136</v>
      </c>
      <c r="AE94" s="22">
        <v>86</v>
      </c>
      <c r="AF94" s="22">
        <v>86</v>
      </c>
      <c r="AG94" s="22"/>
      <c r="AH94" s="22"/>
      <c r="AI94" s="22"/>
      <c r="AJ94" s="22"/>
      <c r="AK94" s="22"/>
      <c r="AL94" s="22"/>
      <c r="AM94" s="22"/>
      <c r="AN94" s="22"/>
    </row>
    <row r="95" spans="1:40" ht="15.75" x14ac:dyDescent="0.25">
      <c r="A95" s="10"/>
      <c r="B95" s="5"/>
      <c r="C95" s="11"/>
      <c r="D95" s="11"/>
      <c r="E95" s="11"/>
      <c r="F95" s="11"/>
      <c r="G95" s="11"/>
      <c r="H95" s="11"/>
      <c r="I95" s="2">
        <v>308</v>
      </c>
      <c r="J95" s="18">
        <v>4</v>
      </c>
      <c r="K95" s="18">
        <v>4</v>
      </c>
      <c r="L95" s="18">
        <v>5</v>
      </c>
      <c r="M95" s="18">
        <v>1</v>
      </c>
      <c r="N95" s="18">
        <v>1</v>
      </c>
      <c r="O95" s="18">
        <v>1</v>
      </c>
      <c r="P95" s="22">
        <v>335</v>
      </c>
      <c r="Q95" s="22">
        <f t="shared" ref="Q95:Q150" ca="1" si="26">IF(INDIRECT("J"&amp;ROW(Q95)-27)/100&gt;0,INDIRECT("J"&amp;ROW(Q95)-27)/100,0)</f>
        <v>0.04</v>
      </c>
      <c r="R95" s="22">
        <f t="shared" ref="R95:R150" ca="1" si="27">IF(INDIRECT("K"&amp;ROW(R95)-27)/100&gt;0,INDIRECT("K"&amp;ROW(R95)-27)/100,0)</f>
        <v>0.04</v>
      </c>
      <c r="S95" s="22">
        <f t="shared" ref="S95:S150" ca="1" si="28">IF(INDIRECT("L"&amp;ROW(S95)-27)/100&gt;0,INDIRECT("L"&amp;ROW(S95)-27)/100,0)</f>
        <v>0.05</v>
      </c>
      <c r="T95" s="22">
        <f t="shared" ref="T95:T150" ca="1" si="29">IF(INDIRECT("M"&amp;ROW(T95)-27)/100&gt;0,INDIRECT("M"&amp;ROW(T95)-27)/100,0)</f>
        <v>0.01</v>
      </c>
      <c r="U95" s="22">
        <f t="shared" ref="U95:U150" ca="1" si="30">IF(INDIRECT("N"&amp;ROW(U95)-27)/100&gt;0,INDIRECT("N"&amp;ROW(U95)-27)/100,0)</f>
        <v>0.01</v>
      </c>
      <c r="V95" s="22">
        <f t="shared" ref="V95:V150" ca="1" si="31">IF(INDIRECT("O"&amp;ROW(V95)-27)/100&gt;0,INDIRECT("O"&amp;ROW(V95)-27)/100,0)</f>
        <v>0.01</v>
      </c>
      <c r="W95" s="22"/>
      <c r="X95" s="22"/>
      <c r="Y95" s="22"/>
      <c r="Z95" s="22"/>
      <c r="AA95" s="22"/>
      <c r="AB95" s="22"/>
      <c r="AC95" s="22"/>
      <c r="AD95" s="22" t="s">
        <v>137</v>
      </c>
      <c r="AE95" s="22">
        <f t="shared" ref="AE95:AF95" ca="1" si="32">AE93/AE94</f>
        <v>4.5348837209302405E-2</v>
      </c>
      <c r="AF95" s="22">
        <f t="shared" ca="1" si="32"/>
        <v>1.1529623477297904E-2</v>
      </c>
      <c r="AG95" s="22"/>
      <c r="AH95" s="13"/>
      <c r="AI95" s="31"/>
      <c r="AJ95" s="31"/>
      <c r="AK95" s="31"/>
      <c r="AL95" s="31"/>
      <c r="AM95" s="31"/>
      <c r="AN95" s="31"/>
    </row>
    <row r="96" spans="1:40" ht="15.75" x14ac:dyDescent="0.25">
      <c r="A96" s="10"/>
      <c r="B96" s="5"/>
      <c r="C96" s="11"/>
      <c r="D96" s="11"/>
      <c r="E96" s="11"/>
      <c r="F96" s="11"/>
      <c r="G96" s="11"/>
      <c r="H96" s="11"/>
      <c r="I96" s="2">
        <v>307</v>
      </c>
      <c r="J96" s="18">
        <v>4</v>
      </c>
      <c r="K96" s="18">
        <v>4</v>
      </c>
      <c r="L96" s="18">
        <v>5</v>
      </c>
      <c r="M96" s="18">
        <v>1</v>
      </c>
      <c r="N96" s="18">
        <v>1</v>
      </c>
      <c r="O96" s="18">
        <v>1</v>
      </c>
      <c r="P96" s="22">
        <v>334</v>
      </c>
      <c r="Q96" s="22">
        <f t="shared" ca="1" si="26"/>
        <v>0.04</v>
      </c>
      <c r="R96" s="22">
        <f t="shared" ca="1" si="27"/>
        <v>0.04</v>
      </c>
      <c r="S96" s="22">
        <f t="shared" ca="1" si="28"/>
        <v>0.05</v>
      </c>
      <c r="T96" s="22">
        <f t="shared" ca="1" si="29"/>
        <v>0.01</v>
      </c>
      <c r="U96" s="22">
        <f t="shared" ca="1" si="30"/>
        <v>0.01</v>
      </c>
      <c r="V96" s="22">
        <f t="shared" ca="1" si="31"/>
        <v>0.01</v>
      </c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</row>
    <row r="97" spans="1:40" ht="15.75" x14ac:dyDescent="0.25">
      <c r="A97" s="10"/>
      <c r="B97" s="5"/>
      <c r="C97" s="11"/>
      <c r="D97" s="11"/>
      <c r="E97" s="11"/>
      <c r="F97" s="11"/>
      <c r="G97" s="11"/>
      <c r="H97" s="11"/>
      <c r="I97" s="2">
        <v>306</v>
      </c>
      <c r="J97" s="18">
        <v>4</v>
      </c>
      <c r="K97" s="18">
        <v>4</v>
      </c>
      <c r="L97" s="18">
        <v>5</v>
      </c>
      <c r="M97" s="18">
        <v>1</v>
      </c>
      <c r="N97" s="18">
        <v>1</v>
      </c>
      <c r="O97" s="18">
        <v>1</v>
      </c>
      <c r="P97" s="22">
        <v>333</v>
      </c>
      <c r="Q97" s="22">
        <f t="shared" ca="1" si="26"/>
        <v>0.04</v>
      </c>
      <c r="R97" s="22">
        <f t="shared" ca="1" si="27"/>
        <v>0.04</v>
      </c>
      <c r="S97" s="22">
        <f t="shared" ca="1" si="28"/>
        <v>0.05</v>
      </c>
      <c r="T97" s="22">
        <f t="shared" ca="1" si="29"/>
        <v>0.01</v>
      </c>
      <c r="U97" s="22">
        <f t="shared" ca="1" si="30"/>
        <v>0.01</v>
      </c>
      <c r="V97" s="22">
        <f t="shared" ca="1" si="31"/>
        <v>0.01</v>
      </c>
      <c r="W97" s="22"/>
      <c r="X97" s="22"/>
      <c r="Y97" s="22"/>
      <c r="Z97" s="22"/>
      <c r="AA97" s="22"/>
      <c r="AB97" s="22"/>
      <c r="AC97" s="22"/>
      <c r="AD97" s="22" t="s">
        <v>44</v>
      </c>
      <c r="AE97" s="22"/>
      <c r="AF97" s="22"/>
      <c r="AG97" s="22"/>
      <c r="AH97" s="15"/>
      <c r="AI97" s="6"/>
      <c r="AJ97" s="6"/>
      <c r="AK97" s="6"/>
      <c r="AL97" s="6"/>
      <c r="AM97" s="6"/>
      <c r="AN97" s="6"/>
    </row>
    <row r="98" spans="1:40" ht="15.75" x14ac:dyDescent="0.25">
      <c r="A98" s="10"/>
      <c r="B98" s="5"/>
      <c r="C98" s="11"/>
      <c r="D98" s="11"/>
      <c r="E98" s="11"/>
      <c r="F98" s="11"/>
      <c r="G98" s="11"/>
      <c r="H98" s="11"/>
      <c r="I98" s="2">
        <v>305</v>
      </c>
      <c r="J98" s="18">
        <v>4</v>
      </c>
      <c r="K98" s="18">
        <v>4</v>
      </c>
      <c r="L98" s="18">
        <v>5</v>
      </c>
      <c r="M98" s="18">
        <v>1</v>
      </c>
      <c r="N98" s="18">
        <v>1</v>
      </c>
      <c r="O98" s="18">
        <v>1</v>
      </c>
      <c r="P98" s="22">
        <v>332</v>
      </c>
      <c r="Q98" s="22">
        <f t="shared" ca="1" si="26"/>
        <v>0.04</v>
      </c>
      <c r="R98" s="22">
        <f t="shared" ca="1" si="27"/>
        <v>0.04</v>
      </c>
      <c r="S98" s="22">
        <f t="shared" ca="1" si="28"/>
        <v>0.05</v>
      </c>
      <c r="T98" s="22">
        <f t="shared" ca="1" si="29"/>
        <v>0.01</v>
      </c>
      <c r="U98" s="22">
        <f t="shared" ca="1" si="30"/>
        <v>0.01</v>
      </c>
      <c r="V98" s="22">
        <f t="shared" ca="1" si="31"/>
        <v>0.01</v>
      </c>
      <c r="W98" s="22"/>
      <c r="X98" s="22"/>
      <c r="Y98" s="22"/>
      <c r="Z98" s="22"/>
      <c r="AA98" s="22"/>
      <c r="AB98" s="22"/>
      <c r="AC98" s="22"/>
      <c r="AD98" s="22" t="s">
        <v>25</v>
      </c>
      <c r="AE98" s="22" t="s">
        <v>26</v>
      </c>
      <c r="AF98" s="22"/>
      <c r="AG98" s="22"/>
      <c r="AH98" s="6"/>
      <c r="AI98" s="6"/>
      <c r="AJ98" s="6"/>
      <c r="AK98" s="6"/>
      <c r="AL98" s="6"/>
      <c r="AM98" s="6"/>
      <c r="AN98" s="6"/>
    </row>
    <row r="99" spans="1:40" ht="15.75" x14ac:dyDescent="0.25">
      <c r="A99" s="10"/>
      <c r="B99" s="5"/>
      <c r="C99" s="11"/>
      <c r="D99" s="11"/>
      <c r="E99" s="11"/>
      <c r="F99" s="11"/>
      <c r="G99" s="11"/>
      <c r="H99" s="11"/>
      <c r="I99" s="2">
        <v>304</v>
      </c>
      <c r="J99" s="18">
        <v>4</v>
      </c>
      <c r="K99" s="18">
        <v>4</v>
      </c>
      <c r="L99" s="18">
        <v>5</v>
      </c>
      <c r="M99" s="18">
        <v>1</v>
      </c>
      <c r="N99" s="18">
        <v>1</v>
      </c>
      <c r="O99" s="18">
        <v>1</v>
      </c>
      <c r="P99" s="22">
        <v>331</v>
      </c>
      <c r="Q99" s="22">
        <f t="shared" ca="1" si="26"/>
        <v>0.04</v>
      </c>
      <c r="R99" s="22">
        <f t="shared" ca="1" si="27"/>
        <v>0.04</v>
      </c>
      <c r="S99" s="22">
        <f t="shared" ca="1" si="28"/>
        <v>0.05</v>
      </c>
      <c r="T99" s="22">
        <f t="shared" ca="1" si="29"/>
        <v>0.01</v>
      </c>
      <c r="U99" s="22">
        <f t="shared" ca="1" si="30"/>
        <v>0.01</v>
      </c>
      <c r="V99" s="22">
        <f t="shared" ca="1" si="31"/>
        <v>0.01</v>
      </c>
      <c r="W99" s="22"/>
      <c r="X99" s="22"/>
      <c r="Y99" s="22"/>
      <c r="Z99" s="22"/>
      <c r="AA99" s="22"/>
      <c r="AB99" s="22"/>
      <c r="AC99" s="22"/>
      <c r="AD99" s="22" t="s">
        <v>1</v>
      </c>
      <c r="AE99" s="22" t="s">
        <v>27</v>
      </c>
      <c r="AF99" s="22"/>
      <c r="AG99" s="22"/>
      <c r="AH99" s="6"/>
      <c r="AI99" s="6"/>
      <c r="AJ99" s="6"/>
      <c r="AK99" s="6"/>
      <c r="AL99" s="6"/>
      <c r="AM99" s="6"/>
      <c r="AN99" s="6"/>
    </row>
    <row r="100" spans="1:40" ht="15.75" x14ac:dyDescent="0.25">
      <c r="A100" s="10"/>
      <c r="B100" s="5"/>
      <c r="C100" s="11"/>
      <c r="D100" s="11"/>
      <c r="E100" s="11"/>
      <c r="F100" s="11"/>
      <c r="G100" s="11"/>
      <c r="H100" s="11"/>
      <c r="I100" s="2">
        <v>303</v>
      </c>
      <c r="J100" s="18">
        <v>4</v>
      </c>
      <c r="K100" s="18">
        <v>4</v>
      </c>
      <c r="L100" s="18">
        <v>5</v>
      </c>
      <c r="M100" s="18">
        <v>1</v>
      </c>
      <c r="N100" s="18">
        <v>1</v>
      </c>
      <c r="O100" s="18">
        <v>1</v>
      </c>
      <c r="P100" s="22">
        <v>330</v>
      </c>
      <c r="Q100" s="22">
        <f t="shared" ca="1" si="26"/>
        <v>0.04</v>
      </c>
      <c r="R100" s="22">
        <f t="shared" ca="1" si="27"/>
        <v>0.04</v>
      </c>
      <c r="S100" s="22">
        <f t="shared" ca="1" si="28"/>
        <v>0.05</v>
      </c>
      <c r="T100" s="22">
        <f t="shared" ca="1" si="29"/>
        <v>0.01</v>
      </c>
      <c r="U100" s="22">
        <f t="shared" ca="1" si="30"/>
        <v>0.01</v>
      </c>
      <c r="V100" s="22">
        <f t="shared" ca="1" si="31"/>
        <v>0.01</v>
      </c>
      <c r="W100" s="22"/>
      <c r="X100" s="22"/>
      <c r="Y100" s="22"/>
      <c r="Z100" s="22"/>
      <c r="AA100" s="22"/>
      <c r="AB100" s="22"/>
      <c r="AC100" s="22"/>
      <c r="AD100" s="22">
        <v>315</v>
      </c>
      <c r="AE100" s="22">
        <f ca="1">AVERAGE(Q115:S115)</f>
        <v>4.3333333333333335E-2</v>
      </c>
      <c r="AF100" s="22">
        <f ca="1">AVERAGE(T115:V115)</f>
        <v>0.01</v>
      </c>
      <c r="AG100" s="22"/>
      <c r="AH100" s="22"/>
      <c r="AI100" s="28"/>
      <c r="AJ100" s="28"/>
      <c r="AK100" s="28"/>
      <c r="AL100" s="28"/>
      <c r="AM100" s="28"/>
      <c r="AN100" s="28"/>
    </row>
    <row r="101" spans="1:40" ht="15.75" x14ac:dyDescent="0.25">
      <c r="A101" s="10"/>
      <c r="B101" s="5"/>
      <c r="C101" s="11"/>
      <c r="D101" s="11"/>
      <c r="E101" s="11"/>
      <c r="F101" s="11"/>
      <c r="G101" s="11"/>
      <c r="H101" s="11"/>
      <c r="I101" s="2">
        <v>302</v>
      </c>
      <c r="J101" s="18">
        <v>4</v>
      </c>
      <c r="K101" s="18">
        <v>4</v>
      </c>
      <c r="L101" s="18">
        <v>5</v>
      </c>
      <c r="M101" s="18">
        <v>1</v>
      </c>
      <c r="N101" s="18">
        <v>1</v>
      </c>
      <c r="O101" s="18">
        <v>1</v>
      </c>
      <c r="P101" s="22">
        <v>329</v>
      </c>
      <c r="Q101" s="22">
        <f t="shared" ca="1" si="26"/>
        <v>0.04</v>
      </c>
      <c r="R101" s="22">
        <f t="shared" ca="1" si="27"/>
        <v>0.04</v>
      </c>
      <c r="S101" s="22">
        <f t="shared" ca="1" si="28"/>
        <v>0.05</v>
      </c>
      <c r="T101" s="22">
        <f t="shared" ca="1" si="29"/>
        <v>0.01</v>
      </c>
      <c r="U101" s="22">
        <f t="shared" ca="1" si="30"/>
        <v>0.01</v>
      </c>
      <c r="V101" s="22">
        <f t="shared" ca="1" si="31"/>
        <v>0.01</v>
      </c>
      <c r="W101" s="22"/>
      <c r="X101" s="22"/>
      <c r="Y101" s="22"/>
      <c r="Z101" s="22"/>
      <c r="AA101" s="22"/>
      <c r="AB101" s="22"/>
      <c r="AC101" s="22"/>
      <c r="AD101" s="22">
        <v>314</v>
      </c>
      <c r="AE101" s="22">
        <f t="shared" ref="AE101:AE135" ca="1" si="33">AVERAGE(Q116:S116)</f>
        <v>4.3333333333333335E-2</v>
      </c>
      <c r="AF101" s="22">
        <f t="shared" ref="AF101:AF135" ca="1" si="34">AVERAGE(T116:V116)</f>
        <v>0.01</v>
      </c>
      <c r="AG101" s="22"/>
      <c r="AH101" s="22"/>
      <c r="AI101" s="28"/>
      <c r="AJ101" s="28"/>
      <c r="AK101" s="28"/>
      <c r="AL101" s="28"/>
      <c r="AM101" s="28"/>
      <c r="AN101" s="28"/>
    </row>
    <row r="102" spans="1:40" ht="15.75" x14ac:dyDescent="0.25">
      <c r="A102" s="10"/>
      <c r="B102" s="5"/>
      <c r="C102" s="11"/>
      <c r="D102" s="11"/>
      <c r="E102" s="11"/>
      <c r="F102" s="11"/>
      <c r="G102" s="11"/>
      <c r="H102" s="11"/>
      <c r="I102" s="2">
        <v>301</v>
      </c>
      <c r="J102" s="18">
        <v>4</v>
      </c>
      <c r="K102" s="18">
        <v>4</v>
      </c>
      <c r="L102" s="18">
        <v>5</v>
      </c>
      <c r="M102" s="18">
        <v>1</v>
      </c>
      <c r="N102" s="18">
        <v>1</v>
      </c>
      <c r="O102" s="18">
        <v>1</v>
      </c>
      <c r="P102" s="22">
        <v>328</v>
      </c>
      <c r="Q102" s="22">
        <f t="shared" ca="1" si="26"/>
        <v>0.04</v>
      </c>
      <c r="R102" s="22">
        <f t="shared" ca="1" si="27"/>
        <v>0.04</v>
      </c>
      <c r="S102" s="22">
        <f t="shared" ca="1" si="28"/>
        <v>0.05</v>
      </c>
      <c r="T102" s="22">
        <f t="shared" ca="1" si="29"/>
        <v>0.01</v>
      </c>
      <c r="U102" s="22">
        <f t="shared" ca="1" si="30"/>
        <v>0.01</v>
      </c>
      <c r="V102" s="22">
        <f t="shared" ca="1" si="31"/>
        <v>0.01</v>
      </c>
      <c r="W102" s="22"/>
      <c r="X102" s="22"/>
      <c r="Y102" s="22"/>
      <c r="Z102" s="22"/>
      <c r="AA102" s="22"/>
      <c r="AB102" s="22"/>
      <c r="AC102" s="22"/>
      <c r="AD102" s="22">
        <v>313</v>
      </c>
      <c r="AE102" s="22">
        <f t="shared" ca="1" si="33"/>
        <v>4.3333333333333335E-2</v>
      </c>
      <c r="AF102" s="22">
        <f t="shared" ca="1" si="34"/>
        <v>0.01</v>
      </c>
      <c r="AG102" s="22"/>
      <c r="AH102" s="22"/>
      <c r="AI102" s="28"/>
      <c r="AJ102" s="28"/>
      <c r="AK102" s="28"/>
      <c r="AL102" s="28"/>
      <c r="AM102" s="28"/>
      <c r="AN102" s="28"/>
    </row>
    <row r="103" spans="1:40" ht="15.75" x14ac:dyDescent="0.25">
      <c r="A103" s="10"/>
      <c r="B103" s="5"/>
      <c r="C103" s="11"/>
      <c r="D103" s="11"/>
      <c r="E103" s="11"/>
      <c r="F103" s="11"/>
      <c r="G103" s="11"/>
      <c r="H103" s="11"/>
      <c r="I103" s="2">
        <v>300</v>
      </c>
      <c r="J103" s="18">
        <v>4</v>
      </c>
      <c r="K103" s="18">
        <v>4</v>
      </c>
      <c r="L103" s="18">
        <v>5</v>
      </c>
      <c r="M103" s="18">
        <v>1</v>
      </c>
      <c r="N103" s="18">
        <v>1</v>
      </c>
      <c r="O103" s="18">
        <v>1</v>
      </c>
      <c r="P103" s="22">
        <v>327</v>
      </c>
      <c r="Q103" s="22">
        <f t="shared" ca="1" si="26"/>
        <v>0.04</v>
      </c>
      <c r="R103" s="22">
        <f t="shared" ca="1" si="27"/>
        <v>0.04</v>
      </c>
      <c r="S103" s="22">
        <f t="shared" ca="1" si="28"/>
        <v>0.05</v>
      </c>
      <c r="T103" s="22">
        <f t="shared" ca="1" si="29"/>
        <v>0.01</v>
      </c>
      <c r="U103" s="22">
        <f t="shared" ca="1" si="30"/>
        <v>0.01</v>
      </c>
      <c r="V103" s="22">
        <f t="shared" ca="1" si="31"/>
        <v>0.01</v>
      </c>
      <c r="W103" s="22"/>
      <c r="X103" s="22"/>
      <c r="Y103" s="22"/>
      <c r="Z103" s="22"/>
      <c r="AA103" s="22"/>
      <c r="AB103" s="22"/>
      <c r="AC103" s="22"/>
      <c r="AD103" s="22">
        <v>312</v>
      </c>
      <c r="AE103" s="22">
        <f t="shared" ca="1" si="33"/>
        <v>4.3333333333333335E-2</v>
      </c>
      <c r="AF103" s="22">
        <f t="shared" ca="1" si="34"/>
        <v>0.01</v>
      </c>
      <c r="AG103" s="22"/>
      <c r="AH103" s="22"/>
      <c r="AI103" s="28"/>
      <c r="AJ103" s="28"/>
      <c r="AK103" s="28"/>
      <c r="AL103" s="28"/>
      <c r="AM103" s="28"/>
      <c r="AN103" s="28"/>
    </row>
    <row r="104" spans="1:40" ht="15.75" x14ac:dyDescent="0.25">
      <c r="A104" s="10"/>
      <c r="B104" s="22"/>
      <c r="C104" s="22"/>
      <c r="D104" s="22"/>
      <c r="E104" s="22"/>
      <c r="F104" s="22"/>
      <c r="G104" s="22"/>
      <c r="H104" s="22"/>
      <c r="I104" s="2">
        <v>299</v>
      </c>
      <c r="J104" s="18">
        <v>4</v>
      </c>
      <c r="K104" s="18">
        <v>4</v>
      </c>
      <c r="L104" s="18">
        <v>5</v>
      </c>
      <c r="M104" s="18">
        <v>1</v>
      </c>
      <c r="N104" s="18">
        <v>1</v>
      </c>
      <c r="O104" s="18">
        <v>1</v>
      </c>
      <c r="P104" s="22">
        <v>326</v>
      </c>
      <c r="Q104" s="22">
        <f t="shared" ca="1" si="26"/>
        <v>0.04</v>
      </c>
      <c r="R104" s="22">
        <f t="shared" ca="1" si="27"/>
        <v>0.04</v>
      </c>
      <c r="S104" s="22">
        <f t="shared" ca="1" si="28"/>
        <v>0.05</v>
      </c>
      <c r="T104" s="22">
        <f t="shared" ca="1" si="29"/>
        <v>0.01</v>
      </c>
      <c r="U104" s="22">
        <f t="shared" ca="1" si="30"/>
        <v>0.01</v>
      </c>
      <c r="V104" s="22">
        <f t="shared" ca="1" si="31"/>
        <v>0.01</v>
      </c>
      <c r="W104" s="22"/>
      <c r="X104" s="22"/>
      <c r="Y104" s="22"/>
      <c r="Z104" s="22"/>
      <c r="AA104" s="22"/>
      <c r="AB104" s="22"/>
      <c r="AC104" s="22"/>
      <c r="AD104" s="22">
        <v>311</v>
      </c>
      <c r="AE104" s="22">
        <f t="shared" ca="1" si="33"/>
        <v>4.3333333333333335E-2</v>
      </c>
      <c r="AF104" s="22">
        <f t="shared" ca="1" si="34"/>
        <v>0.01</v>
      </c>
      <c r="AG104" s="22"/>
      <c r="AH104" s="22"/>
      <c r="AI104" s="28"/>
      <c r="AJ104" s="28"/>
      <c r="AK104" s="28"/>
      <c r="AL104" s="28"/>
      <c r="AM104" s="28"/>
      <c r="AN104" s="28"/>
    </row>
    <row r="105" spans="1:40" ht="15.75" x14ac:dyDescent="0.25">
      <c r="A105" s="10"/>
      <c r="B105" s="22"/>
      <c r="C105" s="22"/>
      <c r="D105" s="22"/>
      <c r="E105" s="22"/>
      <c r="F105" s="22"/>
      <c r="G105" s="22"/>
      <c r="H105" s="22"/>
      <c r="I105" s="2">
        <v>298</v>
      </c>
      <c r="J105" s="18">
        <v>4</v>
      </c>
      <c r="K105" s="18">
        <v>4</v>
      </c>
      <c r="L105" s="18">
        <v>5</v>
      </c>
      <c r="M105" s="18">
        <v>1</v>
      </c>
      <c r="N105" s="18">
        <v>1</v>
      </c>
      <c r="O105" s="18">
        <v>1</v>
      </c>
      <c r="P105" s="22">
        <v>325</v>
      </c>
      <c r="Q105" s="22">
        <f t="shared" ca="1" si="26"/>
        <v>0.04</v>
      </c>
      <c r="R105" s="22">
        <f t="shared" ca="1" si="27"/>
        <v>0.04</v>
      </c>
      <c r="S105" s="22">
        <f t="shared" ca="1" si="28"/>
        <v>0.05</v>
      </c>
      <c r="T105" s="22">
        <f t="shared" ca="1" si="29"/>
        <v>0.01</v>
      </c>
      <c r="U105" s="22">
        <f t="shared" ca="1" si="30"/>
        <v>0.01</v>
      </c>
      <c r="V105" s="22">
        <f t="shared" ca="1" si="31"/>
        <v>0.01</v>
      </c>
      <c r="W105" s="22"/>
      <c r="X105" s="22"/>
      <c r="Y105" s="22"/>
      <c r="Z105" s="22"/>
      <c r="AA105" s="22"/>
      <c r="AB105" s="22"/>
      <c r="AC105" s="22"/>
      <c r="AD105" s="22">
        <v>310</v>
      </c>
      <c r="AE105" s="22">
        <f t="shared" ca="1" si="33"/>
        <v>4.3333333333333335E-2</v>
      </c>
      <c r="AF105" s="22">
        <f t="shared" ca="1" si="34"/>
        <v>0.01</v>
      </c>
      <c r="AG105" s="22"/>
      <c r="AH105" s="22"/>
      <c r="AI105" s="28"/>
      <c r="AJ105" s="28"/>
      <c r="AK105" s="28"/>
      <c r="AL105" s="28"/>
      <c r="AM105" s="28"/>
      <c r="AN105" s="28"/>
    </row>
    <row r="106" spans="1:40" ht="15.75" x14ac:dyDescent="0.25">
      <c r="A106" s="10"/>
      <c r="B106" s="22"/>
      <c r="C106" s="22"/>
      <c r="D106" s="22"/>
      <c r="E106" s="22"/>
      <c r="F106" s="22"/>
      <c r="G106" s="22"/>
      <c r="H106" s="22"/>
      <c r="I106" s="2">
        <v>297</v>
      </c>
      <c r="J106" s="18">
        <v>4</v>
      </c>
      <c r="K106" s="18">
        <v>4</v>
      </c>
      <c r="L106" s="18">
        <v>5</v>
      </c>
      <c r="M106" s="18">
        <v>1</v>
      </c>
      <c r="N106" s="18">
        <v>1</v>
      </c>
      <c r="O106" s="18">
        <v>1</v>
      </c>
      <c r="P106" s="22">
        <v>324</v>
      </c>
      <c r="Q106" s="22">
        <f t="shared" ca="1" si="26"/>
        <v>0.04</v>
      </c>
      <c r="R106" s="22">
        <f t="shared" ca="1" si="27"/>
        <v>0.04</v>
      </c>
      <c r="S106" s="22">
        <f t="shared" ca="1" si="28"/>
        <v>0.05</v>
      </c>
      <c r="T106" s="22">
        <f t="shared" ca="1" si="29"/>
        <v>0.01</v>
      </c>
      <c r="U106" s="22">
        <f t="shared" ca="1" si="30"/>
        <v>0.01</v>
      </c>
      <c r="V106" s="22">
        <f t="shared" ca="1" si="31"/>
        <v>0.01</v>
      </c>
      <c r="W106" s="22"/>
      <c r="X106" s="22"/>
      <c r="Y106" s="22"/>
      <c r="Z106" s="22"/>
      <c r="AA106" s="22"/>
      <c r="AB106" s="22"/>
      <c r="AC106" s="22"/>
      <c r="AD106" s="22">
        <v>309</v>
      </c>
      <c r="AE106" s="22">
        <f t="shared" ca="1" si="33"/>
        <v>4.3333333333333335E-2</v>
      </c>
      <c r="AF106" s="22">
        <f t="shared" ca="1" si="34"/>
        <v>0.01</v>
      </c>
      <c r="AG106" s="22"/>
      <c r="AH106" s="22"/>
      <c r="AI106" s="28"/>
      <c r="AJ106" s="28"/>
      <c r="AK106" s="28"/>
      <c r="AL106" s="28"/>
      <c r="AM106" s="28"/>
      <c r="AN106" s="28"/>
    </row>
    <row r="107" spans="1:40" ht="15.75" x14ac:dyDescent="0.25">
      <c r="A107" s="10"/>
      <c r="B107" s="22"/>
      <c r="C107" s="22"/>
      <c r="D107" s="22"/>
      <c r="E107" s="22"/>
      <c r="F107" s="22"/>
      <c r="G107" s="22"/>
      <c r="H107" s="22"/>
      <c r="I107" s="2">
        <v>296</v>
      </c>
      <c r="J107" s="18">
        <v>4</v>
      </c>
      <c r="K107" s="18">
        <v>4</v>
      </c>
      <c r="L107" s="18">
        <v>5</v>
      </c>
      <c r="M107" s="18">
        <v>1</v>
      </c>
      <c r="N107" s="18">
        <v>1</v>
      </c>
      <c r="O107" s="18">
        <v>1</v>
      </c>
      <c r="P107" s="22">
        <v>323</v>
      </c>
      <c r="Q107" s="22">
        <f t="shared" ca="1" si="26"/>
        <v>0.04</v>
      </c>
      <c r="R107" s="22">
        <f t="shared" ca="1" si="27"/>
        <v>0.04</v>
      </c>
      <c r="S107" s="22">
        <f t="shared" ca="1" si="28"/>
        <v>0.05</v>
      </c>
      <c r="T107" s="22">
        <f t="shared" ca="1" si="29"/>
        <v>0.01</v>
      </c>
      <c r="U107" s="22">
        <f t="shared" ca="1" si="30"/>
        <v>0.01</v>
      </c>
      <c r="V107" s="22">
        <f t="shared" ca="1" si="31"/>
        <v>0.01</v>
      </c>
      <c r="W107" s="22"/>
      <c r="X107" s="22"/>
      <c r="Y107" s="22"/>
      <c r="Z107" s="22"/>
      <c r="AA107" s="22"/>
      <c r="AB107" s="22"/>
      <c r="AC107" s="22"/>
      <c r="AD107" s="22">
        <v>308</v>
      </c>
      <c r="AE107" s="22">
        <f t="shared" ca="1" si="33"/>
        <v>4.3333333333333335E-2</v>
      </c>
      <c r="AF107" s="22">
        <f t="shared" ca="1" si="34"/>
        <v>0.01</v>
      </c>
      <c r="AG107" s="22"/>
      <c r="AH107" s="22"/>
      <c r="AI107" s="28"/>
      <c r="AJ107" s="28"/>
      <c r="AK107" s="28"/>
      <c r="AL107" s="28"/>
      <c r="AM107" s="28"/>
      <c r="AN107" s="28"/>
    </row>
    <row r="108" spans="1:40" ht="15.75" x14ac:dyDescent="0.25">
      <c r="A108" s="10"/>
      <c r="B108" s="22"/>
      <c r="C108" s="22"/>
      <c r="D108" s="22"/>
      <c r="E108" s="22"/>
      <c r="F108" s="22"/>
      <c r="G108" s="22"/>
      <c r="H108" s="22"/>
      <c r="I108" s="2">
        <v>295</v>
      </c>
      <c r="J108" s="18">
        <v>4</v>
      </c>
      <c r="K108" s="18">
        <v>4</v>
      </c>
      <c r="L108" s="18">
        <v>5</v>
      </c>
      <c r="M108" s="18">
        <v>1</v>
      </c>
      <c r="N108" s="18">
        <v>1</v>
      </c>
      <c r="O108" s="18">
        <v>1</v>
      </c>
      <c r="P108" s="22">
        <v>322</v>
      </c>
      <c r="Q108" s="22">
        <f t="shared" ca="1" si="26"/>
        <v>0.04</v>
      </c>
      <c r="R108" s="22">
        <f t="shared" ca="1" si="27"/>
        <v>0.04</v>
      </c>
      <c r="S108" s="22">
        <f t="shared" ca="1" si="28"/>
        <v>0.05</v>
      </c>
      <c r="T108" s="22">
        <f t="shared" ca="1" si="29"/>
        <v>0.01</v>
      </c>
      <c r="U108" s="22">
        <f t="shared" ca="1" si="30"/>
        <v>0.01</v>
      </c>
      <c r="V108" s="22">
        <f t="shared" ca="1" si="31"/>
        <v>0.01</v>
      </c>
      <c r="W108" s="22"/>
      <c r="X108" s="22"/>
      <c r="Y108" s="22"/>
      <c r="Z108" s="22"/>
      <c r="AA108" s="22"/>
      <c r="AB108" s="22"/>
      <c r="AC108" s="22"/>
      <c r="AD108" s="22">
        <v>307</v>
      </c>
      <c r="AE108" s="22">
        <f t="shared" ca="1" si="33"/>
        <v>4.3333333333333335E-2</v>
      </c>
      <c r="AF108" s="22">
        <f t="shared" ca="1" si="34"/>
        <v>0.01</v>
      </c>
      <c r="AG108" s="22"/>
      <c r="AH108" s="22"/>
      <c r="AI108" s="28"/>
      <c r="AJ108" s="28"/>
      <c r="AK108" s="28"/>
      <c r="AL108" s="28"/>
      <c r="AM108" s="28"/>
      <c r="AN108" s="28"/>
    </row>
    <row r="109" spans="1:40" ht="15.75" x14ac:dyDescent="0.25">
      <c r="A109" s="10"/>
      <c r="B109" s="22"/>
      <c r="C109" s="22"/>
      <c r="D109" s="22"/>
      <c r="E109" s="22"/>
      <c r="F109" s="22"/>
      <c r="G109" s="22"/>
      <c r="H109" s="22"/>
      <c r="I109" s="2">
        <v>294</v>
      </c>
      <c r="J109" s="18">
        <v>4</v>
      </c>
      <c r="K109" s="18">
        <v>4</v>
      </c>
      <c r="L109" s="18">
        <v>5</v>
      </c>
      <c r="M109" s="18">
        <v>1</v>
      </c>
      <c r="N109" s="18">
        <v>1</v>
      </c>
      <c r="O109" s="18">
        <v>1</v>
      </c>
      <c r="P109" s="22">
        <v>321</v>
      </c>
      <c r="Q109" s="22">
        <f t="shared" ca="1" si="26"/>
        <v>0.04</v>
      </c>
      <c r="R109" s="22">
        <f t="shared" ca="1" si="27"/>
        <v>0.04</v>
      </c>
      <c r="S109" s="22">
        <f t="shared" ca="1" si="28"/>
        <v>0.05</v>
      </c>
      <c r="T109" s="22">
        <f t="shared" ca="1" si="29"/>
        <v>0.01</v>
      </c>
      <c r="U109" s="22">
        <f t="shared" ca="1" si="30"/>
        <v>0.01</v>
      </c>
      <c r="V109" s="22">
        <f t="shared" ca="1" si="31"/>
        <v>0.01</v>
      </c>
      <c r="W109" s="22"/>
      <c r="X109" s="22"/>
      <c r="Y109" s="22"/>
      <c r="Z109" s="22"/>
      <c r="AA109" s="22"/>
      <c r="AB109" s="22"/>
      <c r="AC109" s="22"/>
      <c r="AD109" s="22">
        <v>306</v>
      </c>
      <c r="AE109" s="22">
        <f t="shared" ca="1" si="33"/>
        <v>4.3333333333333335E-2</v>
      </c>
      <c r="AF109" s="22">
        <f t="shared" ca="1" si="34"/>
        <v>0.01</v>
      </c>
      <c r="AG109" s="22"/>
      <c r="AH109" s="22"/>
      <c r="AI109" s="28"/>
      <c r="AJ109" s="28"/>
      <c r="AK109" s="28"/>
      <c r="AL109" s="28"/>
      <c r="AM109" s="28"/>
      <c r="AN109" s="28"/>
    </row>
    <row r="110" spans="1:40" ht="15.75" x14ac:dyDescent="0.25">
      <c r="A110" s="10"/>
      <c r="B110" s="22"/>
      <c r="C110" s="22"/>
      <c r="D110" s="22"/>
      <c r="E110" s="22"/>
      <c r="F110" s="22"/>
      <c r="G110" s="22"/>
      <c r="H110" s="22"/>
      <c r="I110" s="2">
        <v>293</v>
      </c>
      <c r="J110" s="18">
        <v>4</v>
      </c>
      <c r="K110" s="18">
        <v>4</v>
      </c>
      <c r="L110" s="18">
        <v>5</v>
      </c>
      <c r="M110" s="18">
        <v>1</v>
      </c>
      <c r="N110" s="18">
        <v>1</v>
      </c>
      <c r="O110" s="18">
        <v>1</v>
      </c>
      <c r="P110" s="22">
        <v>320</v>
      </c>
      <c r="Q110" s="22">
        <f t="shared" ca="1" si="26"/>
        <v>0.04</v>
      </c>
      <c r="R110" s="22">
        <f t="shared" ca="1" si="27"/>
        <v>0.04</v>
      </c>
      <c r="S110" s="22">
        <f t="shared" ca="1" si="28"/>
        <v>0.05</v>
      </c>
      <c r="T110" s="22">
        <f t="shared" ca="1" si="29"/>
        <v>0.01</v>
      </c>
      <c r="U110" s="22">
        <f t="shared" ca="1" si="30"/>
        <v>0.01</v>
      </c>
      <c r="V110" s="22">
        <f t="shared" ca="1" si="31"/>
        <v>0.01</v>
      </c>
      <c r="W110" s="22"/>
      <c r="X110" s="22"/>
      <c r="Y110" s="22"/>
      <c r="Z110" s="22"/>
      <c r="AA110" s="22"/>
      <c r="AB110" s="22"/>
      <c r="AC110" s="22"/>
      <c r="AD110" s="22">
        <v>305</v>
      </c>
      <c r="AE110" s="22">
        <f t="shared" ca="1" si="33"/>
        <v>4.3333333333333335E-2</v>
      </c>
      <c r="AF110" s="22">
        <f t="shared" ca="1" si="34"/>
        <v>0.01</v>
      </c>
      <c r="AG110" s="22"/>
      <c r="AH110" s="22"/>
      <c r="AI110" s="28"/>
      <c r="AJ110" s="28"/>
      <c r="AK110" s="28"/>
      <c r="AL110" s="28"/>
      <c r="AM110" s="28"/>
      <c r="AN110" s="28"/>
    </row>
    <row r="111" spans="1:40" ht="15.75" x14ac:dyDescent="0.25">
      <c r="A111" s="10"/>
      <c r="B111" s="22"/>
      <c r="C111" s="22"/>
      <c r="D111" s="22"/>
      <c r="E111" s="22"/>
      <c r="F111" s="22"/>
      <c r="G111" s="22"/>
      <c r="H111" s="22"/>
      <c r="I111" s="2">
        <v>292</v>
      </c>
      <c r="J111" s="18">
        <v>4</v>
      </c>
      <c r="K111" s="18">
        <v>4</v>
      </c>
      <c r="L111" s="18">
        <v>5</v>
      </c>
      <c r="M111" s="18">
        <v>1</v>
      </c>
      <c r="N111" s="18">
        <v>1</v>
      </c>
      <c r="O111" s="18">
        <v>1</v>
      </c>
      <c r="P111" s="22">
        <v>319</v>
      </c>
      <c r="Q111" s="22">
        <f t="shared" ca="1" si="26"/>
        <v>0.04</v>
      </c>
      <c r="R111" s="22">
        <f t="shared" ca="1" si="27"/>
        <v>0.04</v>
      </c>
      <c r="S111" s="22">
        <f t="shared" ca="1" si="28"/>
        <v>0.05</v>
      </c>
      <c r="T111" s="22">
        <f t="shared" ca="1" si="29"/>
        <v>0.01</v>
      </c>
      <c r="U111" s="22">
        <f t="shared" ca="1" si="30"/>
        <v>0.01</v>
      </c>
      <c r="V111" s="22">
        <f t="shared" ca="1" si="31"/>
        <v>0.01</v>
      </c>
      <c r="W111" s="22"/>
      <c r="X111" s="22"/>
      <c r="Y111" s="22"/>
      <c r="Z111" s="22"/>
      <c r="AA111" s="22"/>
      <c r="AB111" s="22"/>
      <c r="AC111" s="22"/>
      <c r="AD111" s="22">
        <v>304</v>
      </c>
      <c r="AE111" s="22">
        <f t="shared" ca="1" si="33"/>
        <v>4.3333333333333335E-2</v>
      </c>
      <c r="AF111" s="22">
        <f t="shared" ca="1" si="34"/>
        <v>0.01</v>
      </c>
      <c r="AG111" s="22"/>
      <c r="AH111" s="22"/>
      <c r="AI111" s="28"/>
      <c r="AJ111" s="28"/>
      <c r="AK111" s="28"/>
      <c r="AL111" s="28"/>
      <c r="AM111" s="28"/>
      <c r="AN111" s="28"/>
    </row>
    <row r="112" spans="1:40" ht="15.75" x14ac:dyDescent="0.25">
      <c r="A112" s="10"/>
      <c r="B112" s="22"/>
      <c r="C112" s="22"/>
      <c r="D112" s="22"/>
      <c r="E112" s="22"/>
      <c r="F112" s="22"/>
      <c r="G112" s="22"/>
      <c r="H112" s="22"/>
      <c r="I112" s="2">
        <v>291</v>
      </c>
      <c r="J112" s="18">
        <v>4</v>
      </c>
      <c r="K112" s="18">
        <v>4</v>
      </c>
      <c r="L112" s="18">
        <v>5</v>
      </c>
      <c r="M112" s="18">
        <v>1</v>
      </c>
      <c r="N112" s="18">
        <v>1</v>
      </c>
      <c r="O112" s="18">
        <v>1</v>
      </c>
      <c r="P112" s="22">
        <v>318</v>
      </c>
      <c r="Q112" s="22">
        <f t="shared" ca="1" si="26"/>
        <v>0.04</v>
      </c>
      <c r="R112" s="22">
        <f t="shared" ca="1" si="27"/>
        <v>0.04</v>
      </c>
      <c r="S112" s="22">
        <f t="shared" ca="1" si="28"/>
        <v>0.05</v>
      </c>
      <c r="T112" s="22">
        <f t="shared" ca="1" si="29"/>
        <v>0.01</v>
      </c>
      <c r="U112" s="22">
        <f t="shared" ca="1" si="30"/>
        <v>0.01</v>
      </c>
      <c r="V112" s="22">
        <f t="shared" ca="1" si="31"/>
        <v>0.01</v>
      </c>
      <c r="W112" s="22"/>
      <c r="X112" s="22"/>
      <c r="Y112" s="22"/>
      <c r="Z112" s="22"/>
      <c r="AA112" s="22"/>
      <c r="AB112" s="22"/>
      <c r="AC112" s="22"/>
      <c r="AD112" s="22">
        <v>303</v>
      </c>
      <c r="AE112" s="22">
        <f t="shared" ca="1" si="33"/>
        <v>4.3333333333333335E-2</v>
      </c>
      <c r="AF112" s="22">
        <f t="shared" ca="1" si="34"/>
        <v>0.01</v>
      </c>
      <c r="AG112" s="22"/>
      <c r="AH112" s="22"/>
      <c r="AI112" s="28"/>
      <c r="AJ112" s="28"/>
      <c r="AK112" s="28"/>
      <c r="AL112" s="28"/>
      <c r="AM112" s="28"/>
      <c r="AN112" s="28"/>
    </row>
    <row r="113" spans="1:40" ht="15.75" x14ac:dyDescent="0.25">
      <c r="A113" s="10"/>
      <c r="B113" s="22"/>
      <c r="C113" s="22"/>
      <c r="D113" s="22"/>
      <c r="E113" s="22"/>
      <c r="F113" s="22"/>
      <c r="G113" s="22"/>
      <c r="H113" s="22"/>
      <c r="I113" s="2">
        <v>290</v>
      </c>
      <c r="J113" s="18">
        <v>4</v>
      </c>
      <c r="K113" s="18">
        <v>4</v>
      </c>
      <c r="L113" s="18">
        <v>5</v>
      </c>
      <c r="M113" s="18">
        <v>1</v>
      </c>
      <c r="N113" s="18">
        <v>1</v>
      </c>
      <c r="O113" s="18">
        <v>1</v>
      </c>
      <c r="P113" s="22">
        <v>317</v>
      </c>
      <c r="Q113" s="22">
        <f t="shared" ca="1" si="26"/>
        <v>0.04</v>
      </c>
      <c r="R113" s="22">
        <f t="shared" ca="1" si="27"/>
        <v>0.04</v>
      </c>
      <c r="S113" s="22">
        <f t="shared" ca="1" si="28"/>
        <v>0.05</v>
      </c>
      <c r="T113" s="22">
        <f t="shared" ca="1" si="29"/>
        <v>0.01</v>
      </c>
      <c r="U113" s="22">
        <f t="shared" ca="1" si="30"/>
        <v>0.01</v>
      </c>
      <c r="V113" s="22">
        <f t="shared" ca="1" si="31"/>
        <v>0.01</v>
      </c>
      <c r="W113" s="22"/>
      <c r="X113" s="22"/>
      <c r="Y113" s="22"/>
      <c r="Z113" s="22"/>
      <c r="AA113" s="22"/>
      <c r="AB113" s="22"/>
      <c r="AC113" s="22"/>
      <c r="AD113" s="22">
        <v>302</v>
      </c>
      <c r="AE113" s="22">
        <f t="shared" ca="1" si="33"/>
        <v>4.3333333333333335E-2</v>
      </c>
      <c r="AF113" s="22">
        <f t="shared" ca="1" si="34"/>
        <v>0.01</v>
      </c>
      <c r="AG113" s="22"/>
      <c r="AH113" s="22"/>
      <c r="AI113" s="28"/>
      <c r="AJ113" s="28"/>
      <c r="AK113" s="28"/>
      <c r="AL113" s="28"/>
      <c r="AM113" s="28"/>
      <c r="AN113" s="28"/>
    </row>
    <row r="114" spans="1:40" ht="15.75" x14ac:dyDescent="0.25">
      <c r="A114" s="10"/>
      <c r="B114" s="22"/>
      <c r="C114" s="22"/>
      <c r="D114" s="22"/>
      <c r="E114" s="22"/>
      <c r="F114" s="22"/>
      <c r="G114" s="22"/>
      <c r="H114" s="22"/>
      <c r="I114" s="2">
        <v>289</v>
      </c>
      <c r="J114" s="18">
        <v>4</v>
      </c>
      <c r="K114" s="18">
        <v>4</v>
      </c>
      <c r="L114" s="18">
        <v>5</v>
      </c>
      <c r="M114" s="18">
        <v>1</v>
      </c>
      <c r="N114" s="18">
        <v>1</v>
      </c>
      <c r="O114" s="18">
        <v>1</v>
      </c>
      <c r="P114" s="22">
        <v>316</v>
      </c>
      <c r="Q114" s="22">
        <f t="shared" ca="1" si="26"/>
        <v>0.04</v>
      </c>
      <c r="R114" s="22">
        <f t="shared" ca="1" si="27"/>
        <v>0.04</v>
      </c>
      <c r="S114" s="22">
        <f t="shared" ca="1" si="28"/>
        <v>0.05</v>
      </c>
      <c r="T114" s="22">
        <f t="shared" ca="1" si="29"/>
        <v>0.01</v>
      </c>
      <c r="U114" s="22">
        <f t="shared" ca="1" si="30"/>
        <v>0.01</v>
      </c>
      <c r="V114" s="22">
        <f t="shared" ca="1" si="31"/>
        <v>0.01</v>
      </c>
      <c r="W114" s="22"/>
      <c r="X114" s="22"/>
      <c r="Y114" s="22"/>
      <c r="Z114" s="22"/>
      <c r="AA114" s="22"/>
      <c r="AB114" s="22"/>
      <c r="AC114" s="22"/>
      <c r="AD114" s="22">
        <v>301</v>
      </c>
      <c r="AE114" s="22">
        <f t="shared" ca="1" si="33"/>
        <v>4.3333333333333335E-2</v>
      </c>
      <c r="AF114" s="22">
        <f t="shared" ca="1" si="34"/>
        <v>0.01</v>
      </c>
      <c r="AG114" s="22"/>
      <c r="AH114" s="22"/>
      <c r="AI114" s="28"/>
      <c r="AJ114" s="28"/>
      <c r="AK114" s="28"/>
      <c r="AL114" s="28"/>
      <c r="AM114" s="28"/>
      <c r="AN114" s="28"/>
    </row>
    <row r="115" spans="1:40" ht="15.75" x14ac:dyDescent="0.25">
      <c r="A115" s="10"/>
      <c r="B115" s="22"/>
      <c r="C115" s="22"/>
      <c r="D115" s="22"/>
      <c r="E115" s="22"/>
      <c r="F115" s="22"/>
      <c r="G115" s="22"/>
      <c r="H115" s="22"/>
      <c r="I115" s="2">
        <v>288</v>
      </c>
      <c r="J115" s="18">
        <v>4</v>
      </c>
      <c r="K115" s="18">
        <v>4</v>
      </c>
      <c r="L115" s="18">
        <v>5</v>
      </c>
      <c r="M115" s="18">
        <v>1</v>
      </c>
      <c r="N115" s="18">
        <v>1</v>
      </c>
      <c r="O115" s="18">
        <v>1</v>
      </c>
      <c r="P115" s="22">
        <v>315</v>
      </c>
      <c r="Q115" s="22">
        <f t="shared" ca="1" si="26"/>
        <v>0.04</v>
      </c>
      <c r="R115" s="22">
        <f t="shared" ca="1" si="27"/>
        <v>0.04</v>
      </c>
      <c r="S115" s="22">
        <f t="shared" ca="1" si="28"/>
        <v>0.05</v>
      </c>
      <c r="T115" s="22">
        <f t="shared" ca="1" si="29"/>
        <v>0.01</v>
      </c>
      <c r="U115" s="22">
        <f t="shared" ca="1" si="30"/>
        <v>0.01</v>
      </c>
      <c r="V115" s="22">
        <f t="shared" ca="1" si="31"/>
        <v>0.01</v>
      </c>
      <c r="W115" s="22"/>
      <c r="X115" s="22"/>
      <c r="Y115" s="22"/>
      <c r="Z115" s="22"/>
      <c r="AA115" s="22"/>
      <c r="AB115" s="22"/>
      <c r="AC115" s="22"/>
      <c r="AD115" s="22">
        <v>300</v>
      </c>
      <c r="AE115" s="22">
        <f t="shared" ca="1" si="33"/>
        <v>4.3333333333333335E-2</v>
      </c>
      <c r="AF115" s="22">
        <f t="shared" ca="1" si="34"/>
        <v>0.01</v>
      </c>
      <c r="AG115" s="22"/>
      <c r="AH115" s="22"/>
      <c r="AI115" s="28"/>
      <c r="AJ115" s="28"/>
      <c r="AK115" s="28"/>
      <c r="AL115" s="28"/>
      <c r="AM115" s="28"/>
      <c r="AN115" s="28"/>
    </row>
    <row r="116" spans="1:40" ht="15.75" x14ac:dyDescent="0.25">
      <c r="A116" s="10"/>
      <c r="B116" s="22"/>
      <c r="C116" s="22"/>
      <c r="D116" s="22"/>
      <c r="E116" s="22"/>
      <c r="F116" s="22"/>
      <c r="G116" s="22"/>
      <c r="H116" s="22"/>
      <c r="I116" s="2">
        <v>287</v>
      </c>
      <c r="J116" s="18">
        <v>4</v>
      </c>
      <c r="K116" s="18">
        <v>4</v>
      </c>
      <c r="L116" s="18">
        <v>5</v>
      </c>
      <c r="M116" s="18">
        <v>1</v>
      </c>
      <c r="N116" s="18">
        <v>1</v>
      </c>
      <c r="O116" s="18">
        <v>1</v>
      </c>
      <c r="P116" s="22">
        <v>314</v>
      </c>
      <c r="Q116" s="22">
        <f t="shared" ca="1" si="26"/>
        <v>0.04</v>
      </c>
      <c r="R116" s="22">
        <f t="shared" ca="1" si="27"/>
        <v>0.04</v>
      </c>
      <c r="S116" s="22">
        <f t="shared" ca="1" si="28"/>
        <v>0.05</v>
      </c>
      <c r="T116" s="22">
        <f t="shared" ca="1" si="29"/>
        <v>0.01</v>
      </c>
      <c r="U116" s="22">
        <f t="shared" ca="1" si="30"/>
        <v>0.01</v>
      </c>
      <c r="V116" s="22">
        <f t="shared" ca="1" si="31"/>
        <v>0.01</v>
      </c>
      <c r="W116" s="22"/>
      <c r="X116" s="22"/>
      <c r="Y116" s="22"/>
      <c r="Z116" s="22"/>
      <c r="AA116" s="22"/>
      <c r="AB116" s="22"/>
      <c r="AC116" s="22"/>
      <c r="AD116" s="22">
        <v>299</v>
      </c>
      <c r="AE116" s="22">
        <f t="shared" ca="1" si="33"/>
        <v>4.3333333333333335E-2</v>
      </c>
      <c r="AF116" s="22">
        <f t="shared" ca="1" si="34"/>
        <v>0.01</v>
      </c>
      <c r="AG116" s="22"/>
      <c r="AH116" s="22"/>
      <c r="AI116" s="28"/>
      <c r="AJ116" s="28"/>
      <c r="AK116" s="28"/>
      <c r="AL116" s="28"/>
      <c r="AM116" s="28"/>
      <c r="AN116" s="28"/>
    </row>
    <row r="117" spans="1:40" ht="15.75" x14ac:dyDescent="0.25">
      <c r="A117" s="10"/>
      <c r="B117" s="22"/>
      <c r="C117" s="22"/>
      <c r="D117" s="22"/>
      <c r="E117" s="22"/>
      <c r="F117" s="22"/>
      <c r="G117" s="22"/>
      <c r="H117" s="22"/>
      <c r="I117" s="2">
        <v>286</v>
      </c>
      <c r="J117" s="18">
        <v>4</v>
      </c>
      <c r="K117" s="18">
        <v>4</v>
      </c>
      <c r="L117" s="18">
        <v>5</v>
      </c>
      <c r="M117" s="18">
        <v>1</v>
      </c>
      <c r="N117" s="18">
        <v>1</v>
      </c>
      <c r="O117" s="18">
        <v>1</v>
      </c>
      <c r="P117" s="22">
        <v>313</v>
      </c>
      <c r="Q117" s="22">
        <f t="shared" ca="1" si="26"/>
        <v>0.04</v>
      </c>
      <c r="R117" s="22">
        <f t="shared" ca="1" si="27"/>
        <v>0.04</v>
      </c>
      <c r="S117" s="22">
        <f t="shared" ca="1" si="28"/>
        <v>0.05</v>
      </c>
      <c r="T117" s="22">
        <f t="shared" ca="1" si="29"/>
        <v>0.01</v>
      </c>
      <c r="U117" s="22">
        <f t="shared" ca="1" si="30"/>
        <v>0.01</v>
      </c>
      <c r="V117" s="22">
        <f t="shared" ca="1" si="31"/>
        <v>0.01</v>
      </c>
      <c r="W117" s="22"/>
      <c r="X117" s="22"/>
      <c r="Y117" s="22"/>
      <c r="Z117" s="22"/>
      <c r="AA117" s="22"/>
      <c r="AB117" s="22"/>
      <c r="AC117" s="22"/>
      <c r="AD117" s="22">
        <v>298</v>
      </c>
      <c r="AE117" s="22">
        <f t="shared" ca="1" si="33"/>
        <v>4.3333333333333335E-2</v>
      </c>
      <c r="AF117" s="22">
        <f t="shared" ca="1" si="34"/>
        <v>0.01</v>
      </c>
      <c r="AG117" s="22"/>
      <c r="AH117" s="22"/>
      <c r="AI117" s="28"/>
      <c r="AJ117" s="28"/>
      <c r="AK117" s="28"/>
      <c r="AL117" s="28"/>
      <c r="AM117" s="28"/>
      <c r="AN117" s="28"/>
    </row>
    <row r="118" spans="1:40" ht="15.75" x14ac:dyDescent="0.25">
      <c r="A118" s="10"/>
      <c r="B118" s="22"/>
      <c r="C118" s="22"/>
      <c r="D118" s="22"/>
      <c r="E118" s="22"/>
      <c r="F118" s="22"/>
      <c r="G118" s="22"/>
      <c r="H118" s="22"/>
      <c r="I118" s="2">
        <v>285</v>
      </c>
      <c r="J118" s="18">
        <v>4</v>
      </c>
      <c r="K118" s="18">
        <v>4</v>
      </c>
      <c r="L118" s="18">
        <v>5</v>
      </c>
      <c r="M118" s="18">
        <v>1</v>
      </c>
      <c r="N118" s="18">
        <v>1</v>
      </c>
      <c r="O118" s="18">
        <v>1</v>
      </c>
      <c r="P118" s="22">
        <v>312</v>
      </c>
      <c r="Q118" s="22">
        <f t="shared" ca="1" si="26"/>
        <v>0.04</v>
      </c>
      <c r="R118" s="22">
        <f t="shared" ca="1" si="27"/>
        <v>0.04</v>
      </c>
      <c r="S118" s="22">
        <f t="shared" ca="1" si="28"/>
        <v>0.05</v>
      </c>
      <c r="T118" s="22">
        <f t="shared" ca="1" si="29"/>
        <v>0.01</v>
      </c>
      <c r="U118" s="22">
        <f t="shared" ca="1" si="30"/>
        <v>0.01</v>
      </c>
      <c r="V118" s="22">
        <f t="shared" ca="1" si="31"/>
        <v>0.01</v>
      </c>
      <c r="W118" s="22"/>
      <c r="X118" s="22"/>
      <c r="Y118" s="22"/>
      <c r="Z118" s="22"/>
      <c r="AA118" s="22"/>
      <c r="AB118" s="22"/>
      <c r="AC118" s="22"/>
      <c r="AD118" s="22">
        <v>297</v>
      </c>
      <c r="AE118" s="22">
        <f t="shared" ca="1" si="33"/>
        <v>4.3333333333333335E-2</v>
      </c>
      <c r="AF118" s="22">
        <f t="shared" ca="1" si="34"/>
        <v>0.01</v>
      </c>
      <c r="AG118" s="22"/>
      <c r="AH118" s="22"/>
      <c r="AI118" s="28"/>
      <c r="AJ118" s="28"/>
      <c r="AK118" s="28"/>
      <c r="AL118" s="28"/>
      <c r="AM118" s="28"/>
      <c r="AN118" s="28"/>
    </row>
    <row r="119" spans="1:40" ht="15.75" x14ac:dyDescent="0.25">
      <c r="A119" s="10"/>
      <c r="B119" s="22"/>
      <c r="C119" s="22"/>
      <c r="D119" s="22"/>
      <c r="E119" s="22"/>
      <c r="F119" s="22"/>
      <c r="G119" s="22"/>
      <c r="H119" s="22"/>
      <c r="I119" s="2">
        <v>284</v>
      </c>
      <c r="J119" s="18">
        <v>4</v>
      </c>
      <c r="K119" s="18">
        <v>4</v>
      </c>
      <c r="L119" s="18">
        <v>5</v>
      </c>
      <c r="M119" s="18">
        <v>1</v>
      </c>
      <c r="N119" s="18">
        <v>1</v>
      </c>
      <c r="O119" s="18">
        <v>1</v>
      </c>
      <c r="P119" s="22">
        <v>311</v>
      </c>
      <c r="Q119" s="22">
        <f t="shared" ca="1" si="26"/>
        <v>0.04</v>
      </c>
      <c r="R119" s="22">
        <f t="shared" ca="1" si="27"/>
        <v>0.04</v>
      </c>
      <c r="S119" s="22">
        <f t="shared" ca="1" si="28"/>
        <v>0.05</v>
      </c>
      <c r="T119" s="22">
        <f t="shared" ca="1" si="29"/>
        <v>0.01</v>
      </c>
      <c r="U119" s="22">
        <f t="shared" ca="1" si="30"/>
        <v>0.01</v>
      </c>
      <c r="V119" s="22">
        <f t="shared" ca="1" si="31"/>
        <v>0.01</v>
      </c>
      <c r="W119" s="22"/>
      <c r="X119" s="22"/>
      <c r="Y119" s="22"/>
      <c r="Z119" s="22"/>
      <c r="AA119" s="22"/>
      <c r="AB119" s="22"/>
      <c r="AC119" s="22"/>
      <c r="AD119" s="22">
        <v>296</v>
      </c>
      <c r="AE119" s="22">
        <f t="shared" ca="1" si="33"/>
        <v>4.3333333333333335E-2</v>
      </c>
      <c r="AF119" s="22">
        <f t="shared" ca="1" si="34"/>
        <v>0.01</v>
      </c>
      <c r="AG119" s="22"/>
      <c r="AH119" s="22"/>
      <c r="AI119" s="28"/>
      <c r="AJ119" s="28"/>
      <c r="AK119" s="28"/>
      <c r="AL119" s="28"/>
      <c r="AM119" s="28"/>
      <c r="AN119" s="28"/>
    </row>
    <row r="120" spans="1:40" ht="15.75" x14ac:dyDescent="0.25">
      <c r="A120" s="10"/>
      <c r="B120" s="22"/>
      <c r="C120" s="22"/>
      <c r="D120" s="22"/>
      <c r="E120" s="22"/>
      <c r="F120" s="22"/>
      <c r="G120" s="22"/>
      <c r="H120" s="22"/>
      <c r="I120" s="2">
        <v>283</v>
      </c>
      <c r="J120" s="18">
        <v>4</v>
      </c>
      <c r="K120" s="18">
        <v>4</v>
      </c>
      <c r="L120" s="18">
        <v>5</v>
      </c>
      <c r="M120" s="18">
        <v>1</v>
      </c>
      <c r="N120" s="18">
        <v>1</v>
      </c>
      <c r="O120" s="18">
        <v>1</v>
      </c>
      <c r="P120" s="22">
        <v>310</v>
      </c>
      <c r="Q120" s="22">
        <f t="shared" ca="1" si="26"/>
        <v>0.04</v>
      </c>
      <c r="R120" s="22">
        <f t="shared" ca="1" si="27"/>
        <v>0.04</v>
      </c>
      <c r="S120" s="22">
        <f t="shared" ca="1" si="28"/>
        <v>0.05</v>
      </c>
      <c r="T120" s="22">
        <f t="shared" ca="1" si="29"/>
        <v>0.01</v>
      </c>
      <c r="U120" s="22">
        <f t="shared" ca="1" si="30"/>
        <v>0.01</v>
      </c>
      <c r="V120" s="22">
        <f t="shared" ca="1" si="31"/>
        <v>0.01</v>
      </c>
      <c r="W120" s="22"/>
      <c r="X120" s="22"/>
      <c r="Y120" s="22"/>
      <c r="Z120" s="22"/>
      <c r="AA120" s="22"/>
      <c r="AB120" s="22"/>
      <c r="AC120" s="22"/>
      <c r="AD120" s="22">
        <v>295</v>
      </c>
      <c r="AE120" s="22">
        <f t="shared" ca="1" si="33"/>
        <v>4.3333333333333335E-2</v>
      </c>
      <c r="AF120" s="22">
        <f t="shared" ca="1" si="34"/>
        <v>0.01</v>
      </c>
      <c r="AG120" s="22"/>
      <c r="AH120" s="22"/>
      <c r="AI120" s="28"/>
      <c r="AJ120" s="28"/>
      <c r="AK120" s="28"/>
      <c r="AL120" s="28"/>
      <c r="AM120" s="28"/>
      <c r="AN120" s="28"/>
    </row>
    <row r="121" spans="1:40" ht="15.75" x14ac:dyDescent="0.25">
      <c r="A121" s="10"/>
      <c r="B121" s="22"/>
      <c r="C121" s="22"/>
      <c r="D121" s="22"/>
      <c r="E121" s="22"/>
      <c r="F121" s="22"/>
      <c r="G121" s="22"/>
      <c r="H121" s="22"/>
      <c r="I121" s="2">
        <v>282</v>
      </c>
      <c r="J121" s="18">
        <v>4</v>
      </c>
      <c r="K121" s="18">
        <v>4</v>
      </c>
      <c r="L121" s="18">
        <v>5</v>
      </c>
      <c r="M121" s="18">
        <v>1</v>
      </c>
      <c r="N121" s="18">
        <v>1</v>
      </c>
      <c r="O121" s="18">
        <v>1</v>
      </c>
      <c r="P121" s="22">
        <v>309</v>
      </c>
      <c r="Q121" s="22">
        <f t="shared" ca="1" si="26"/>
        <v>0.04</v>
      </c>
      <c r="R121" s="22">
        <f t="shared" ca="1" si="27"/>
        <v>0.04</v>
      </c>
      <c r="S121" s="22">
        <f t="shared" ca="1" si="28"/>
        <v>0.05</v>
      </c>
      <c r="T121" s="22">
        <f t="shared" ca="1" si="29"/>
        <v>0.01</v>
      </c>
      <c r="U121" s="22">
        <f t="shared" ca="1" si="30"/>
        <v>0.01</v>
      </c>
      <c r="V121" s="22">
        <f t="shared" ca="1" si="31"/>
        <v>0.01</v>
      </c>
      <c r="W121" s="22"/>
      <c r="X121" s="22"/>
      <c r="Y121" s="22"/>
      <c r="Z121" s="22"/>
      <c r="AA121" s="22"/>
      <c r="AB121" s="22"/>
      <c r="AC121" s="22"/>
      <c r="AD121" s="22">
        <v>294</v>
      </c>
      <c r="AE121" s="22">
        <f t="shared" ca="1" si="33"/>
        <v>4.3333333333333335E-2</v>
      </c>
      <c r="AF121" s="22">
        <f t="shared" ca="1" si="34"/>
        <v>0.01</v>
      </c>
      <c r="AG121" s="22"/>
      <c r="AH121" s="22"/>
      <c r="AI121" s="28"/>
      <c r="AJ121" s="28"/>
      <c r="AK121" s="28"/>
      <c r="AL121" s="28"/>
      <c r="AM121" s="28"/>
      <c r="AN121" s="28"/>
    </row>
    <row r="122" spans="1:40" ht="15.75" x14ac:dyDescent="0.25">
      <c r="A122" s="10"/>
      <c r="B122" s="22"/>
      <c r="C122" s="22"/>
      <c r="D122" s="22"/>
      <c r="E122" s="22"/>
      <c r="F122" s="22"/>
      <c r="G122" s="22"/>
      <c r="H122" s="22"/>
      <c r="I122" s="2">
        <v>281</v>
      </c>
      <c r="J122" s="18">
        <v>4</v>
      </c>
      <c r="K122" s="18">
        <v>4</v>
      </c>
      <c r="L122" s="18">
        <v>5</v>
      </c>
      <c r="M122" s="18">
        <v>1</v>
      </c>
      <c r="N122" s="18">
        <v>1</v>
      </c>
      <c r="O122" s="18">
        <v>1</v>
      </c>
      <c r="P122" s="22">
        <v>308</v>
      </c>
      <c r="Q122" s="22">
        <f t="shared" ca="1" si="26"/>
        <v>0.04</v>
      </c>
      <c r="R122" s="22">
        <f t="shared" ca="1" si="27"/>
        <v>0.04</v>
      </c>
      <c r="S122" s="22">
        <f t="shared" ca="1" si="28"/>
        <v>0.05</v>
      </c>
      <c r="T122" s="22">
        <f t="shared" ca="1" si="29"/>
        <v>0.01</v>
      </c>
      <c r="U122" s="22">
        <f t="shared" ca="1" si="30"/>
        <v>0.01</v>
      </c>
      <c r="V122" s="22">
        <f t="shared" ca="1" si="31"/>
        <v>0.01</v>
      </c>
      <c r="W122" s="22"/>
      <c r="X122" s="22"/>
      <c r="Y122" s="22"/>
      <c r="Z122" s="22"/>
      <c r="AA122" s="22"/>
      <c r="AB122" s="22"/>
      <c r="AC122" s="22"/>
      <c r="AD122" s="22">
        <v>293</v>
      </c>
      <c r="AE122" s="22">
        <f t="shared" ca="1" si="33"/>
        <v>4.3333333333333335E-2</v>
      </c>
      <c r="AF122" s="22">
        <f t="shared" ca="1" si="34"/>
        <v>0.01</v>
      </c>
      <c r="AG122" s="22"/>
      <c r="AH122" s="22"/>
      <c r="AI122" s="28"/>
      <c r="AJ122" s="28"/>
      <c r="AK122" s="28"/>
      <c r="AL122" s="28"/>
      <c r="AM122" s="28"/>
      <c r="AN122" s="28"/>
    </row>
    <row r="123" spans="1:40" ht="16.5" thickBot="1" x14ac:dyDescent="0.3">
      <c r="A123" s="10"/>
      <c r="B123" s="22"/>
      <c r="C123" s="22"/>
      <c r="D123" s="22"/>
      <c r="E123" s="22"/>
      <c r="F123" s="22"/>
      <c r="G123" s="22"/>
      <c r="H123" s="22"/>
      <c r="I123" s="3">
        <v>280</v>
      </c>
      <c r="J123" s="18">
        <v>4</v>
      </c>
      <c r="K123" s="18">
        <v>4</v>
      </c>
      <c r="L123" s="18">
        <v>5</v>
      </c>
      <c r="M123" s="18">
        <v>2.2999999999999998</v>
      </c>
      <c r="N123" s="18">
        <v>2.4</v>
      </c>
      <c r="O123" s="18">
        <v>2.5</v>
      </c>
      <c r="P123" s="22">
        <v>307</v>
      </c>
      <c r="Q123" s="22">
        <f t="shared" ca="1" si="26"/>
        <v>0.04</v>
      </c>
      <c r="R123" s="22">
        <f t="shared" ca="1" si="27"/>
        <v>0.04</v>
      </c>
      <c r="S123" s="22">
        <f t="shared" ca="1" si="28"/>
        <v>0.05</v>
      </c>
      <c r="T123" s="22">
        <f t="shared" ca="1" si="29"/>
        <v>0.01</v>
      </c>
      <c r="U123" s="22">
        <f t="shared" ca="1" si="30"/>
        <v>0.01</v>
      </c>
      <c r="V123" s="22">
        <f t="shared" ca="1" si="31"/>
        <v>0.01</v>
      </c>
      <c r="W123" s="22"/>
      <c r="X123" s="22"/>
      <c r="Y123" s="22"/>
      <c r="Z123" s="22"/>
      <c r="AA123" s="22"/>
      <c r="AB123" s="22"/>
      <c r="AC123" s="22"/>
      <c r="AD123" s="22">
        <v>292</v>
      </c>
      <c r="AE123" s="22">
        <f t="shared" ca="1" si="33"/>
        <v>4.3333333333333335E-2</v>
      </c>
      <c r="AF123" s="22">
        <f t="shared" ca="1" si="34"/>
        <v>0.01</v>
      </c>
      <c r="AG123" s="22"/>
      <c r="AH123" s="22"/>
      <c r="AI123" s="28"/>
      <c r="AJ123" s="28"/>
      <c r="AK123" s="28"/>
      <c r="AL123" s="28"/>
      <c r="AM123" s="28"/>
      <c r="AN123" s="28"/>
    </row>
    <row r="124" spans="1:40" ht="15" x14ac:dyDescent="0.2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>
        <v>306</v>
      </c>
      <c r="Q124" s="22">
        <f t="shared" ca="1" si="26"/>
        <v>0.04</v>
      </c>
      <c r="R124" s="22">
        <f t="shared" ca="1" si="27"/>
        <v>0.04</v>
      </c>
      <c r="S124" s="22">
        <f t="shared" ca="1" si="28"/>
        <v>0.05</v>
      </c>
      <c r="T124" s="22">
        <f t="shared" ca="1" si="29"/>
        <v>0.01</v>
      </c>
      <c r="U124" s="22">
        <f t="shared" ca="1" si="30"/>
        <v>0.01</v>
      </c>
      <c r="V124" s="22">
        <f t="shared" ca="1" si="31"/>
        <v>0.01</v>
      </c>
      <c r="W124" s="22"/>
      <c r="X124" s="22"/>
      <c r="Y124" s="22"/>
      <c r="Z124" s="22"/>
      <c r="AA124" s="22"/>
      <c r="AB124" s="22"/>
      <c r="AC124" s="22"/>
      <c r="AD124" s="22">
        <v>291</v>
      </c>
      <c r="AE124" s="22">
        <f t="shared" ca="1" si="33"/>
        <v>4.3333333333333335E-2</v>
      </c>
      <c r="AF124" s="22">
        <f t="shared" ca="1" si="34"/>
        <v>0.01</v>
      </c>
      <c r="AG124" s="22"/>
      <c r="AH124" s="22"/>
      <c r="AI124" s="28"/>
      <c r="AJ124" s="28"/>
      <c r="AK124" s="28"/>
      <c r="AL124" s="28"/>
      <c r="AM124" s="28"/>
      <c r="AN124" s="28"/>
    </row>
    <row r="125" spans="1:40" ht="15" x14ac:dyDescent="0.2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>
        <v>305</v>
      </c>
      <c r="Q125" s="22">
        <f t="shared" ca="1" si="26"/>
        <v>0.04</v>
      </c>
      <c r="R125" s="22">
        <f t="shared" ca="1" si="27"/>
        <v>0.04</v>
      </c>
      <c r="S125" s="22">
        <f t="shared" ca="1" si="28"/>
        <v>0.05</v>
      </c>
      <c r="T125" s="22">
        <f t="shared" ca="1" si="29"/>
        <v>0.01</v>
      </c>
      <c r="U125" s="22">
        <f t="shared" ca="1" si="30"/>
        <v>0.01</v>
      </c>
      <c r="V125" s="22">
        <f t="shared" ca="1" si="31"/>
        <v>0.01</v>
      </c>
      <c r="W125" s="22"/>
      <c r="X125" s="22"/>
      <c r="Y125" s="22"/>
      <c r="Z125" s="22"/>
      <c r="AA125" s="22"/>
      <c r="AB125" s="22"/>
      <c r="AC125" s="22"/>
      <c r="AD125" s="22">
        <v>290</v>
      </c>
      <c r="AE125" s="22">
        <f t="shared" ca="1" si="33"/>
        <v>4.3333333333333335E-2</v>
      </c>
      <c r="AF125" s="22">
        <f t="shared" ca="1" si="34"/>
        <v>0.01</v>
      </c>
      <c r="AG125" s="22"/>
      <c r="AH125" s="22"/>
      <c r="AI125" s="28"/>
      <c r="AJ125" s="28"/>
      <c r="AK125" s="28"/>
      <c r="AL125" s="28"/>
      <c r="AM125" s="28"/>
      <c r="AN125" s="28"/>
    </row>
    <row r="126" spans="1:40" ht="15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>
        <v>304</v>
      </c>
      <c r="Q126" s="22">
        <f t="shared" ca="1" si="26"/>
        <v>0.04</v>
      </c>
      <c r="R126" s="22">
        <f t="shared" ca="1" si="27"/>
        <v>0.04</v>
      </c>
      <c r="S126" s="22">
        <f t="shared" ca="1" si="28"/>
        <v>0.05</v>
      </c>
      <c r="T126" s="22">
        <f t="shared" ca="1" si="29"/>
        <v>0.01</v>
      </c>
      <c r="U126" s="22">
        <f t="shared" ca="1" si="30"/>
        <v>0.01</v>
      </c>
      <c r="V126" s="22">
        <f t="shared" ca="1" si="31"/>
        <v>0.01</v>
      </c>
      <c r="W126" s="22"/>
      <c r="X126" s="22"/>
      <c r="Y126" s="22"/>
      <c r="Z126" s="22"/>
      <c r="AA126" s="22"/>
      <c r="AB126" s="22"/>
      <c r="AC126" s="22"/>
      <c r="AD126" s="22">
        <v>289</v>
      </c>
      <c r="AE126" s="22">
        <f t="shared" ca="1" si="33"/>
        <v>4.3333333333333335E-2</v>
      </c>
      <c r="AF126" s="22">
        <f t="shared" ca="1" si="34"/>
        <v>0.01</v>
      </c>
      <c r="AG126" s="22"/>
      <c r="AH126" s="22"/>
      <c r="AI126" s="28"/>
      <c r="AJ126" s="28"/>
      <c r="AK126" s="28"/>
      <c r="AL126" s="28"/>
      <c r="AM126" s="28"/>
      <c r="AN126" s="28"/>
    </row>
    <row r="127" spans="1:40" ht="15" x14ac:dyDescent="0.2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>
        <v>303</v>
      </c>
      <c r="Q127" s="22">
        <f t="shared" ca="1" si="26"/>
        <v>0.04</v>
      </c>
      <c r="R127" s="22">
        <f t="shared" ca="1" si="27"/>
        <v>0.04</v>
      </c>
      <c r="S127" s="22">
        <f t="shared" ca="1" si="28"/>
        <v>0.05</v>
      </c>
      <c r="T127" s="22">
        <f t="shared" ca="1" si="29"/>
        <v>0.01</v>
      </c>
      <c r="U127" s="22">
        <f t="shared" ca="1" si="30"/>
        <v>0.01</v>
      </c>
      <c r="V127" s="22">
        <f t="shared" ca="1" si="31"/>
        <v>0.01</v>
      </c>
      <c r="W127" s="22"/>
      <c r="X127" s="22"/>
      <c r="Y127" s="22"/>
      <c r="Z127" s="22"/>
      <c r="AA127" s="22"/>
      <c r="AB127" s="22"/>
      <c r="AC127" s="22"/>
      <c r="AD127" s="22">
        <v>288</v>
      </c>
      <c r="AE127" s="22">
        <f t="shared" ca="1" si="33"/>
        <v>4.3333333333333335E-2</v>
      </c>
      <c r="AF127" s="22">
        <f t="shared" ca="1" si="34"/>
        <v>0.01</v>
      </c>
      <c r="AG127" s="22"/>
      <c r="AH127" s="22"/>
      <c r="AI127" s="28"/>
      <c r="AJ127" s="28"/>
      <c r="AK127" s="28"/>
      <c r="AL127" s="28"/>
      <c r="AM127" s="28"/>
      <c r="AN127" s="28"/>
    </row>
    <row r="128" spans="1:40" ht="15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>
        <v>302</v>
      </c>
      <c r="Q128" s="22">
        <f t="shared" ca="1" si="26"/>
        <v>0.04</v>
      </c>
      <c r="R128" s="22">
        <f t="shared" ca="1" si="27"/>
        <v>0.04</v>
      </c>
      <c r="S128" s="22">
        <f t="shared" ca="1" si="28"/>
        <v>0.05</v>
      </c>
      <c r="T128" s="22">
        <f t="shared" ca="1" si="29"/>
        <v>0.01</v>
      </c>
      <c r="U128" s="22">
        <f t="shared" ca="1" si="30"/>
        <v>0.01</v>
      </c>
      <c r="V128" s="22">
        <f t="shared" ca="1" si="31"/>
        <v>0.01</v>
      </c>
      <c r="W128" s="22"/>
      <c r="X128" s="22"/>
      <c r="Y128" s="22"/>
      <c r="Z128" s="22"/>
      <c r="AA128" s="22"/>
      <c r="AB128" s="22"/>
      <c r="AC128" s="22"/>
      <c r="AD128" s="22">
        <v>287</v>
      </c>
      <c r="AE128" s="22">
        <f t="shared" ca="1" si="33"/>
        <v>4.3333333333333335E-2</v>
      </c>
      <c r="AF128" s="22">
        <f t="shared" ca="1" si="34"/>
        <v>0.01</v>
      </c>
      <c r="AG128" s="22"/>
      <c r="AH128" s="22"/>
      <c r="AI128" s="28"/>
      <c r="AJ128" s="28"/>
      <c r="AK128" s="28"/>
      <c r="AL128" s="28"/>
      <c r="AM128" s="28"/>
      <c r="AN128" s="28"/>
    </row>
    <row r="129" spans="1:40" ht="15" x14ac:dyDescent="0.2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>
        <v>301</v>
      </c>
      <c r="Q129" s="22">
        <f t="shared" ca="1" si="26"/>
        <v>0.04</v>
      </c>
      <c r="R129" s="22">
        <f t="shared" ca="1" si="27"/>
        <v>0.04</v>
      </c>
      <c r="S129" s="22">
        <f t="shared" ca="1" si="28"/>
        <v>0.05</v>
      </c>
      <c r="T129" s="22">
        <f t="shared" ca="1" si="29"/>
        <v>0.01</v>
      </c>
      <c r="U129" s="22">
        <f t="shared" ca="1" si="30"/>
        <v>0.01</v>
      </c>
      <c r="V129" s="22">
        <f t="shared" ca="1" si="31"/>
        <v>0.01</v>
      </c>
      <c r="W129" s="22"/>
      <c r="X129" s="22"/>
      <c r="Y129" s="22"/>
      <c r="Z129" s="22"/>
      <c r="AA129" s="22"/>
      <c r="AB129" s="22"/>
      <c r="AC129" s="22"/>
      <c r="AD129" s="22">
        <v>286</v>
      </c>
      <c r="AE129" s="22">
        <f t="shared" ca="1" si="33"/>
        <v>4.3333333333333335E-2</v>
      </c>
      <c r="AF129" s="22">
        <f t="shared" ca="1" si="34"/>
        <v>0.01</v>
      </c>
      <c r="AG129" s="22"/>
      <c r="AH129" s="22"/>
      <c r="AI129" s="28"/>
      <c r="AJ129" s="28"/>
      <c r="AK129" s="28"/>
      <c r="AL129" s="28"/>
      <c r="AM129" s="28"/>
      <c r="AN129" s="28"/>
    </row>
    <row r="130" spans="1:40" ht="15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>
        <v>300</v>
      </c>
      <c r="Q130" s="22">
        <f t="shared" ca="1" si="26"/>
        <v>0.04</v>
      </c>
      <c r="R130" s="22">
        <f t="shared" ca="1" si="27"/>
        <v>0.04</v>
      </c>
      <c r="S130" s="22">
        <f t="shared" ca="1" si="28"/>
        <v>0.05</v>
      </c>
      <c r="T130" s="22">
        <f t="shared" ca="1" si="29"/>
        <v>0.01</v>
      </c>
      <c r="U130" s="22">
        <f t="shared" ca="1" si="30"/>
        <v>0.01</v>
      </c>
      <c r="V130" s="22">
        <f t="shared" ca="1" si="31"/>
        <v>0.01</v>
      </c>
      <c r="W130" s="22"/>
      <c r="X130" s="22"/>
      <c r="Y130" s="22"/>
      <c r="Z130" s="22"/>
      <c r="AA130" s="22"/>
      <c r="AB130" s="22"/>
      <c r="AC130" s="22"/>
      <c r="AD130" s="22">
        <v>285</v>
      </c>
      <c r="AE130" s="22">
        <f t="shared" ca="1" si="33"/>
        <v>4.3333333333333335E-2</v>
      </c>
      <c r="AF130" s="22">
        <f t="shared" ca="1" si="34"/>
        <v>0.01</v>
      </c>
      <c r="AG130" s="22"/>
      <c r="AH130" s="22"/>
      <c r="AI130" s="28"/>
      <c r="AJ130" s="28"/>
      <c r="AK130" s="28"/>
      <c r="AL130" s="28"/>
      <c r="AM130" s="28"/>
      <c r="AN130" s="28"/>
    </row>
    <row r="131" spans="1:40" ht="15" x14ac:dyDescent="0.2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>
        <v>299</v>
      </c>
      <c r="Q131" s="22">
        <f t="shared" ca="1" si="26"/>
        <v>0.04</v>
      </c>
      <c r="R131" s="22">
        <f t="shared" ca="1" si="27"/>
        <v>0.04</v>
      </c>
      <c r="S131" s="22">
        <f t="shared" ca="1" si="28"/>
        <v>0.05</v>
      </c>
      <c r="T131" s="22">
        <f t="shared" ca="1" si="29"/>
        <v>0.01</v>
      </c>
      <c r="U131" s="22">
        <f t="shared" ca="1" si="30"/>
        <v>0.01</v>
      </c>
      <c r="V131" s="22">
        <f t="shared" ca="1" si="31"/>
        <v>0.01</v>
      </c>
      <c r="W131" s="22"/>
      <c r="X131" s="22"/>
      <c r="Y131" s="22"/>
      <c r="Z131" s="22"/>
      <c r="AA131" s="22"/>
      <c r="AB131" s="22"/>
      <c r="AC131" s="22"/>
      <c r="AD131" s="22">
        <v>284</v>
      </c>
      <c r="AE131" s="22">
        <f t="shared" ca="1" si="33"/>
        <v>4.3333333333333335E-2</v>
      </c>
      <c r="AF131" s="22">
        <f t="shared" ca="1" si="34"/>
        <v>0.01</v>
      </c>
      <c r="AG131" s="22"/>
      <c r="AH131" s="22"/>
      <c r="AI131" s="28"/>
      <c r="AJ131" s="28"/>
      <c r="AK131" s="28"/>
      <c r="AL131" s="28"/>
      <c r="AM131" s="28"/>
      <c r="AN131" s="28"/>
    </row>
    <row r="132" spans="1:40" ht="15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>
        <v>298</v>
      </c>
      <c r="Q132" s="22">
        <f t="shared" ca="1" si="26"/>
        <v>0.04</v>
      </c>
      <c r="R132" s="22">
        <f t="shared" ca="1" si="27"/>
        <v>0.04</v>
      </c>
      <c r="S132" s="22">
        <f t="shared" ca="1" si="28"/>
        <v>0.05</v>
      </c>
      <c r="T132" s="22">
        <f t="shared" ca="1" si="29"/>
        <v>0.01</v>
      </c>
      <c r="U132" s="22">
        <f t="shared" ca="1" si="30"/>
        <v>0.01</v>
      </c>
      <c r="V132" s="22">
        <f t="shared" ca="1" si="31"/>
        <v>0.01</v>
      </c>
      <c r="W132" s="22"/>
      <c r="X132" s="22"/>
      <c r="Y132" s="22"/>
      <c r="Z132" s="22"/>
      <c r="AA132" s="22"/>
      <c r="AB132" s="22"/>
      <c r="AC132" s="22"/>
      <c r="AD132" s="22">
        <v>283</v>
      </c>
      <c r="AE132" s="22">
        <f t="shared" ca="1" si="33"/>
        <v>4.3333333333333335E-2</v>
      </c>
      <c r="AF132" s="22">
        <f t="shared" ca="1" si="34"/>
        <v>0.01</v>
      </c>
      <c r="AG132" s="22"/>
      <c r="AH132" s="22"/>
      <c r="AI132" s="28"/>
      <c r="AJ132" s="28"/>
      <c r="AK132" s="28"/>
      <c r="AL132" s="28"/>
      <c r="AM132" s="28"/>
      <c r="AN132" s="28"/>
    </row>
    <row r="133" spans="1:40" ht="15" x14ac:dyDescent="0.2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>
        <v>297</v>
      </c>
      <c r="Q133" s="22">
        <f t="shared" ca="1" si="26"/>
        <v>0.04</v>
      </c>
      <c r="R133" s="22">
        <f t="shared" ca="1" si="27"/>
        <v>0.04</v>
      </c>
      <c r="S133" s="22">
        <f t="shared" ca="1" si="28"/>
        <v>0.05</v>
      </c>
      <c r="T133" s="22">
        <f t="shared" ca="1" si="29"/>
        <v>0.01</v>
      </c>
      <c r="U133" s="22">
        <f t="shared" ca="1" si="30"/>
        <v>0.01</v>
      </c>
      <c r="V133" s="22">
        <f t="shared" ca="1" si="31"/>
        <v>0.01</v>
      </c>
      <c r="W133" s="22"/>
      <c r="X133" s="22"/>
      <c r="Y133" s="22"/>
      <c r="Z133" s="22"/>
      <c r="AA133" s="22"/>
      <c r="AB133" s="22"/>
      <c r="AC133" s="22"/>
      <c r="AD133" s="22">
        <v>282</v>
      </c>
      <c r="AE133" s="22">
        <f t="shared" ca="1" si="33"/>
        <v>4.3333333333333335E-2</v>
      </c>
      <c r="AF133" s="22">
        <f t="shared" ca="1" si="34"/>
        <v>0.01</v>
      </c>
      <c r="AG133" s="22"/>
      <c r="AH133" s="22"/>
      <c r="AI133" s="28"/>
      <c r="AJ133" s="28"/>
      <c r="AK133" s="28"/>
      <c r="AL133" s="28"/>
      <c r="AM133" s="28"/>
      <c r="AN133" s="28"/>
    </row>
    <row r="134" spans="1:40" ht="15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>
        <v>296</v>
      </c>
      <c r="Q134" s="22">
        <f t="shared" ca="1" si="26"/>
        <v>0.04</v>
      </c>
      <c r="R134" s="22">
        <f t="shared" ca="1" si="27"/>
        <v>0.04</v>
      </c>
      <c r="S134" s="22">
        <f t="shared" ca="1" si="28"/>
        <v>0.05</v>
      </c>
      <c r="T134" s="22">
        <f t="shared" ca="1" si="29"/>
        <v>0.01</v>
      </c>
      <c r="U134" s="22">
        <f t="shared" ca="1" si="30"/>
        <v>0.01</v>
      </c>
      <c r="V134" s="22">
        <f t="shared" ca="1" si="31"/>
        <v>0.01</v>
      </c>
      <c r="W134" s="22"/>
      <c r="X134" s="22"/>
      <c r="Y134" s="22"/>
      <c r="Z134" s="22"/>
      <c r="AA134" s="22"/>
      <c r="AB134" s="22"/>
      <c r="AC134" s="22"/>
      <c r="AD134" s="22">
        <v>281</v>
      </c>
      <c r="AE134" s="22">
        <f t="shared" ca="1" si="33"/>
        <v>4.3333333333333335E-2</v>
      </c>
      <c r="AF134" s="22">
        <f t="shared" ca="1" si="34"/>
        <v>0.01</v>
      </c>
      <c r="AG134" s="22"/>
      <c r="AH134" s="22"/>
      <c r="AI134" s="28"/>
      <c r="AJ134" s="28"/>
      <c r="AK134" s="28"/>
      <c r="AL134" s="28"/>
      <c r="AM134" s="28"/>
      <c r="AN134" s="28"/>
    </row>
    <row r="135" spans="1:40" ht="15" x14ac:dyDescent="0.2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>
        <v>295</v>
      </c>
      <c r="Q135" s="22">
        <f t="shared" ca="1" si="26"/>
        <v>0.04</v>
      </c>
      <c r="R135" s="22">
        <f t="shared" ca="1" si="27"/>
        <v>0.04</v>
      </c>
      <c r="S135" s="22">
        <f t="shared" ca="1" si="28"/>
        <v>0.05</v>
      </c>
      <c r="T135" s="22">
        <f t="shared" ca="1" si="29"/>
        <v>0.01</v>
      </c>
      <c r="U135" s="22">
        <f t="shared" ca="1" si="30"/>
        <v>0.01</v>
      </c>
      <c r="V135" s="22">
        <f t="shared" ca="1" si="31"/>
        <v>0.01</v>
      </c>
      <c r="W135" s="22"/>
      <c r="X135" s="22"/>
      <c r="Y135" s="22"/>
      <c r="Z135" s="22"/>
      <c r="AA135" s="22"/>
      <c r="AB135" s="22"/>
      <c r="AC135" s="22"/>
      <c r="AD135" s="22">
        <v>280</v>
      </c>
      <c r="AE135" s="22">
        <f t="shared" ca="1" si="33"/>
        <v>4.3333333333333335E-2</v>
      </c>
      <c r="AF135" s="22">
        <f t="shared" ca="1" si="34"/>
        <v>2.4000000000000004E-2</v>
      </c>
      <c r="AG135" s="22"/>
      <c r="AH135" s="22"/>
      <c r="AI135" s="28"/>
      <c r="AJ135" s="28"/>
      <c r="AK135" s="28"/>
      <c r="AL135" s="28"/>
      <c r="AM135" s="28"/>
      <c r="AN135" s="28"/>
    </row>
    <row r="136" spans="1:40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>
        <v>294</v>
      </c>
      <c r="Q136" s="22">
        <f t="shared" ca="1" si="26"/>
        <v>0.04</v>
      </c>
      <c r="R136" s="22">
        <f t="shared" ca="1" si="27"/>
        <v>0.04</v>
      </c>
      <c r="S136" s="22">
        <f t="shared" ca="1" si="28"/>
        <v>0.05</v>
      </c>
      <c r="T136" s="22">
        <f t="shared" ca="1" si="29"/>
        <v>0.01</v>
      </c>
      <c r="U136" s="22">
        <f t="shared" ca="1" si="30"/>
        <v>0.01</v>
      </c>
      <c r="V136" s="22">
        <f t="shared" ca="1" si="31"/>
        <v>0.01</v>
      </c>
      <c r="W136" s="22"/>
      <c r="X136" s="22"/>
      <c r="Y136" s="22"/>
      <c r="Z136" s="22"/>
      <c r="AA136" s="22"/>
      <c r="AB136" s="22"/>
      <c r="AC136" s="22"/>
      <c r="AD136" s="22" t="s">
        <v>135</v>
      </c>
      <c r="AE136" s="22">
        <f ca="1">SUM(AE100:AE135)</f>
        <v>1.5600000000000014</v>
      </c>
      <c r="AF136" s="22">
        <f t="shared" ref="AF136" ca="1" si="35">SUM(AF100:AF135)</f>
        <v>0.37400000000000017</v>
      </c>
      <c r="AG136" s="22"/>
      <c r="AH136" s="22"/>
      <c r="AI136" s="30"/>
      <c r="AJ136" s="30"/>
      <c r="AK136" s="30"/>
      <c r="AL136" s="30"/>
      <c r="AM136" s="30"/>
      <c r="AN136" s="30"/>
    </row>
    <row r="137" spans="1:40" ht="15" x14ac:dyDescent="0.2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>
        <v>293</v>
      </c>
      <c r="Q137" s="22">
        <f t="shared" ca="1" si="26"/>
        <v>0.04</v>
      </c>
      <c r="R137" s="22">
        <f t="shared" ca="1" si="27"/>
        <v>0.04</v>
      </c>
      <c r="S137" s="22">
        <f t="shared" ca="1" si="28"/>
        <v>0.05</v>
      </c>
      <c r="T137" s="22">
        <f t="shared" ca="1" si="29"/>
        <v>0.01</v>
      </c>
      <c r="U137" s="22">
        <f t="shared" ca="1" si="30"/>
        <v>0.01</v>
      </c>
      <c r="V137" s="22">
        <f t="shared" ca="1" si="31"/>
        <v>0.01</v>
      </c>
      <c r="W137" s="22"/>
      <c r="X137" s="22"/>
      <c r="Y137" s="22"/>
      <c r="Z137" s="22"/>
      <c r="AA137" s="22"/>
      <c r="AB137" s="22"/>
      <c r="AC137" s="22"/>
      <c r="AD137" s="22" t="s">
        <v>136</v>
      </c>
      <c r="AE137" s="22">
        <v>36</v>
      </c>
      <c r="AF137" s="22">
        <v>36</v>
      </c>
      <c r="AG137" s="22"/>
      <c r="AH137" s="22"/>
      <c r="AI137" s="32"/>
      <c r="AJ137" s="32"/>
      <c r="AK137" s="32"/>
      <c r="AL137" s="32"/>
      <c r="AM137" s="32"/>
      <c r="AN137" s="32"/>
    </row>
    <row r="138" spans="1:40" ht="15.75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>
        <v>292</v>
      </c>
      <c r="Q138" s="22">
        <f t="shared" ca="1" si="26"/>
        <v>0.04</v>
      </c>
      <c r="R138" s="22">
        <f t="shared" ca="1" si="27"/>
        <v>0.04</v>
      </c>
      <c r="S138" s="22">
        <f t="shared" ca="1" si="28"/>
        <v>0.05</v>
      </c>
      <c r="T138" s="22">
        <f t="shared" ca="1" si="29"/>
        <v>0.01</v>
      </c>
      <c r="U138" s="22">
        <f t="shared" ca="1" si="30"/>
        <v>0.01</v>
      </c>
      <c r="V138" s="22">
        <f t="shared" ca="1" si="31"/>
        <v>0.01</v>
      </c>
      <c r="W138" s="22"/>
      <c r="X138" s="22"/>
      <c r="Y138" s="22"/>
      <c r="Z138" s="22"/>
      <c r="AA138" s="22"/>
      <c r="AB138" s="22"/>
      <c r="AC138" s="22"/>
      <c r="AD138" s="22" t="s">
        <v>138</v>
      </c>
      <c r="AE138" s="22">
        <f ca="1">AE136/AE137</f>
        <v>4.333333333333337E-2</v>
      </c>
      <c r="AF138" s="22">
        <f t="shared" ref="AF138" ca="1" si="36">AF136/AF137</f>
        <v>1.0388888888888894E-2</v>
      </c>
      <c r="AG138" s="22"/>
      <c r="AH138" s="13"/>
      <c r="AI138" s="31"/>
      <c r="AJ138" s="31"/>
      <c r="AK138" s="31"/>
      <c r="AL138" s="31"/>
      <c r="AM138" s="31"/>
      <c r="AN138" s="31"/>
    </row>
    <row r="139" spans="1:40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>
        <v>291</v>
      </c>
      <c r="Q139" s="22">
        <f t="shared" ca="1" si="26"/>
        <v>0.04</v>
      </c>
      <c r="R139" s="22">
        <f t="shared" ca="1" si="27"/>
        <v>0.04</v>
      </c>
      <c r="S139" s="22">
        <f t="shared" ca="1" si="28"/>
        <v>0.05</v>
      </c>
      <c r="T139" s="22">
        <f t="shared" ca="1" si="29"/>
        <v>0.01</v>
      </c>
      <c r="U139" s="22">
        <f t="shared" ca="1" si="30"/>
        <v>0.01</v>
      </c>
      <c r="V139" s="22">
        <f t="shared" ca="1" si="31"/>
        <v>0.01</v>
      </c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</row>
    <row r="140" spans="1:40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>
        <v>290</v>
      </c>
      <c r="Q140" s="22">
        <f t="shared" ca="1" si="26"/>
        <v>0.04</v>
      </c>
      <c r="R140" s="22">
        <f t="shared" ca="1" si="27"/>
        <v>0.04</v>
      </c>
      <c r="S140" s="22">
        <f t="shared" ca="1" si="28"/>
        <v>0.05</v>
      </c>
      <c r="T140" s="22">
        <f t="shared" ca="1" si="29"/>
        <v>0.01</v>
      </c>
      <c r="U140" s="22">
        <f t="shared" ca="1" si="30"/>
        <v>0.01</v>
      </c>
      <c r="V140" s="22">
        <f t="shared" ca="1" si="31"/>
        <v>0.01</v>
      </c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</row>
    <row r="141" spans="1:40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>
        <v>289</v>
      </c>
      <c r="Q141" s="22">
        <f t="shared" ca="1" si="26"/>
        <v>0.04</v>
      </c>
      <c r="R141" s="22">
        <f t="shared" ca="1" si="27"/>
        <v>0.04</v>
      </c>
      <c r="S141" s="22">
        <f t="shared" ca="1" si="28"/>
        <v>0.05</v>
      </c>
      <c r="T141" s="22">
        <f t="shared" ca="1" si="29"/>
        <v>0.01</v>
      </c>
      <c r="U141" s="22">
        <f t="shared" ca="1" si="30"/>
        <v>0.01</v>
      </c>
      <c r="V141" s="22">
        <f t="shared" ca="1" si="31"/>
        <v>0.01</v>
      </c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</row>
    <row r="142" spans="1:40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>
        <v>288</v>
      </c>
      <c r="Q142" s="22">
        <f t="shared" ca="1" si="26"/>
        <v>0.04</v>
      </c>
      <c r="R142" s="22">
        <f t="shared" ca="1" si="27"/>
        <v>0.04</v>
      </c>
      <c r="S142" s="22">
        <f t="shared" ca="1" si="28"/>
        <v>0.05</v>
      </c>
      <c r="T142" s="22">
        <f t="shared" ca="1" si="29"/>
        <v>0.01</v>
      </c>
      <c r="U142" s="22">
        <f t="shared" ca="1" si="30"/>
        <v>0.01</v>
      </c>
      <c r="V142" s="22">
        <f t="shared" ca="1" si="31"/>
        <v>0.01</v>
      </c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</row>
    <row r="143" spans="1:40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>
        <v>287</v>
      </c>
      <c r="Q143" s="22">
        <f t="shared" ca="1" si="26"/>
        <v>0.04</v>
      </c>
      <c r="R143" s="22">
        <f t="shared" ca="1" si="27"/>
        <v>0.04</v>
      </c>
      <c r="S143" s="22">
        <f t="shared" ca="1" si="28"/>
        <v>0.05</v>
      </c>
      <c r="T143" s="22">
        <f t="shared" ca="1" si="29"/>
        <v>0.01</v>
      </c>
      <c r="U143" s="22">
        <f t="shared" ca="1" si="30"/>
        <v>0.01</v>
      </c>
      <c r="V143" s="22">
        <f t="shared" ca="1" si="31"/>
        <v>0.01</v>
      </c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</row>
    <row r="144" spans="1:40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>
        <v>286</v>
      </c>
      <c r="Q144" s="22">
        <f t="shared" ca="1" si="26"/>
        <v>0.04</v>
      </c>
      <c r="R144" s="22">
        <f t="shared" ca="1" si="27"/>
        <v>0.04</v>
      </c>
      <c r="S144" s="22">
        <f t="shared" ca="1" si="28"/>
        <v>0.05</v>
      </c>
      <c r="T144" s="22">
        <f t="shared" ca="1" si="29"/>
        <v>0.01</v>
      </c>
      <c r="U144" s="22">
        <f t="shared" ca="1" si="30"/>
        <v>0.01</v>
      </c>
      <c r="V144" s="22">
        <f t="shared" ca="1" si="31"/>
        <v>0.01</v>
      </c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</row>
    <row r="145" spans="1:40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>
        <v>285</v>
      </c>
      <c r="Q145" s="22">
        <f t="shared" ca="1" si="26"/>
        <v>0.04</v>
      </c>
      <c r="R145" s="22">
        <f t="shared" ca="1" si="27"/>
        <v>0.04</v>
      </c>
      <c r="S145" s="22">
        <f t="shared" ca="1" si="28"/>
        <v>0.05</v>
      </c>
      <c r="T145" s="22">
        <f t="shared" ca="1" si="29"/>
        <v>0.01</v>
      </c>
      <c r="U145" s="22">
        <f t="shared" ca="1" si="30"/>
        <v>0.01</v>
      </c>
      <c r="V145" s="22">
        <f t="shared" ca="1" si="31"/>
        <v>0.01</v>
      </c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</row>
    <row r="146" spans="1:40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>
        <v>284</v>
      </c>
      <c r="Q146" s="22">
        <f t="shared" ca="1" si="26"/>
        <v>0.04</v>
      </c>
      <c r="R146" s="22">
        <f t="shared" ca="1" si="27"/>
        <v>0.04</v>
      </c>
      <c r="S146" s="22">
        <f t="shared" ca="1" si="28"/>
        <v>0.05</v>
      </c>
      <c r="T146" s="22">
        <f t="shared" ca="1" si="29"/>
        <v>0.01</v>
      </c>
      <c r="U146" s="22">
        <f t="shared" ca="1" si="30"/>
        <v>0.01</v>
      </c>
      <c r="V146" s="22">
        <f t="shared" ca="1" si="31"/>
        <v>0.01</v>
      </c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</row>
    <row r="147" spans="1:40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>
        <v>283</v>
      </c>
      <c r="Q147" s="22">
        <f t="shared" ca="1" si="26"/>
        <v>0.04</v>
      </c>
      <c r="R147" s="22">
        <f t="shared" ca="1" si="27"/>
        <v>0.04</v>
      </c>
      <c r="S147" s="22">
        <f t="shared" ca="1" si="28"/>
        <v>0.05</v>
      </c>
      <c r="T147" s="22">
        <f t="shared" ca="1" si="29"/>
        <v>0.01</v>
      </c>
      <c r="U147" s="22">
        <f t="shared" ca="1" si="30"/>
        <v>0.01</v>
      </c>
      <c r="V147" s="22">
        <f t="shared" ca="1" si="31"/>
        <v>0.01</v>
      </c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</row>
    <row r="148" spans="1:40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>
        <v>282</v>
      </c>
      <c r="Q148" s="22">
        <f t="shared" ca="1" si="26"/>
        <v>0.04</v>
      </c>
      <c r="R148" s="22">
        <f t="shared" ca="1" si="27"/>
        <v>0.04</v>
      </c>
      <c r="S148" s="22">
        <f t="shared" ca="1" si="28"/>
        <v>0.05</v>
      </c>
      <c r="T148" s="22">
        <f t="shared" ca="1" si="29"/>
        <v>0.01</v>
      </c>
      <c r="U148" s="22">
        <f t="shared" ca="1" si="30"/>
        <v>0.01</v>
      </c>
      <c r="V148" s="22">
        <f t="shared" ca="1" si="31"/>
        <v>0.01</v>
      </c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</row>
    <row r="149" spans="1:40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>
        <v>281</v>
      </c>
      <c r="Q149" s="22">
        <f t="shared" ca="1" si="26"/>
        <v>0.04</v>
      </c>
      <c r="R149" s="22">
        <f t="shared" ca="1" si="27"/>
        <v>0.04</v>
      </c>
      <c r="S149" s="22">
        <f t="shared" ca="1" si="28"/>
        <v>0.05</v>
      </c>
      <c r="T149" s="22">
        <f t="shared" ca="1" si="29"/>
        <v>0.01</v>
      </c>
      <c r="U149" s="22">
        <f t="shared" ca="1" si="30"/>
        <v>0.01</v>
      </c>
      <c r="V149" s="22">
        <f t="shared" ca="1" si="31"/>
        <v>0.01</v>
      </c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</row>
    <row r="150" spans="1:40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>
        <v>280</v>
      </c>
      <c r="Q150" s="22">
        <f t="shared" ca="1" si="26"/>
        <v>0.04</v>
      </c>
      <c r="R150" s="22">
        <f t="shared" ca="1" si="27"/>
        <v>0.04</v>
      </c>
      <c r="S150" s="22">
        <f t="shared" ca="1" si="28"/>
        <v>0.05</v>
      </c>
      <c r="T150" s="22">
        <f t="shared" ca="1" si="29"/>
        <v>2.3E-2</v>
      </c>
      <c r="U150" s="22">
        <f t="shared" ca="1" si="30"/>
        <v>2.4E-2</v>
      </c>
      <c r="V150" s="22">
        <f t="shared" ca="1" si="31"/>
        <v>2.5000000000000001E-2</v>
      </c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</row>
  </sheetData>
  <sheetProtection sheet="1" objects="1" scenarios="1"/>
  <protectedRanges>
    <protectedRange sqref="J3:O123" name="区域3_1"/>
  </protectedRange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82D1D-7E94-4D24-9106-C255616031CD}">
  <sheetPr codeName="Sheet17"/>
  <dimension ref="A1:AV113"/>
  <sheetViews>
    <sheetView workbookViewId="0">
      <selection activeCell="A20" sqref="A20"/>
    </sheetView>
  </sheetViews>
  <sheetFormatPr defaultRowHeight="14.25" x14ac:dyDescent="0.2"/>
  <cols>
    <col min="1" max="1" width="11.875" bestFit="1" customWidth="1"/>
    <col min="2" max="10" width="10.5" bestFit="1" customWidth="1"/>
    <col min="11" max="11" width="11.625" bestFit="1" customWidth="1"/>
    <col min="13" max="23" width="0" hidden="1" customWidth="1"/>
    <col min="24" max="24" width="11.25" hidden="1" customWidth="1"/>
    <col min="25" max="25" width="11.75" hidden="1" customWidth="1"/>
    <col min="26" max="26" width="10.875" hidden="1" customWidth="1"/>
    <col min="27" max="48" width="0" hidden="1" customWidth="1"/>
  </cols>
  <sheetData>
    <row r="1" spans="1:48" ht="18" thickBot="1" x14ac:dyDescent="0.35">
      <c r="A1" s="4" t="s">
        <v>20</v>
      </c>
      <c r="B1" s="45" t="s">
        <v>119</v>
      </c>
      <c r="C1" s="45" t="s">
        <v>140</v>
      </c>
      <c r="D1" s="45" t="s">
        <v>146</v>
      </c>
      <c r="E1" s="45" t="s">
        <v>147</v>
      </c>
      <c r="F1" s="45" t="s">
        <v>149</v>
      </c>
      <c r="G1" s="45" t="s">
        <v>152</v>
      </c>
      <c r="H1" s="45" t="s">
        <v>153</v>
      </c>
      <c r="I1" s="45" t="s">
        <v>154</v>
      </c>
      <c r="J1" s="45" t="s">
        <v>155</v>
      </c>
      <c r="K1" s="45"/>
      <c r="L1" s="22"/>
      <c r="M1" s="4" t="s">
        <v>20</v>
      </c>
      <c r="N1" s="22" t="s">
        <v>119</v>
      </c>
      <c r="O1" s="22" t="s">
        <v>140</v>
      </c>
      <c r="P1" s="22" t="s">
        <v>146</v>
      </c>
      <c r="Q1" s="22" t="s">
        <v>147</v>
      </c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</row>
    <row r="2" spans="1:48" ht="21.75" thickTop="1" thickBot="1" x14ac:dyDescent="0.35">
      <c r="A2" s="17" t="s">
        <v>53</v>
      </c>
      <c r="B2" s="45" t="s">
        <v>120</v>
      </c>
      <c r="C2" s="45" t="s">
        <v>120</v>
      </c>
      <c r="D2" s="45" t="s">
        <v>120</v>
      </c>
      <c r="E2" s="45" t="s">
        <v>120</v>
      </c>
      <c r="F2" s="45" t="s">
        <v>120</v>
      </c>
      <c r="G2" s="45" t="s">
        <v>151</v>
      </c>
      <c r="H2" s="45" t="s">
        <v>151</v>
      </c>
      <c r="I2" s="45" t="s">
        <v>151</v>
      </c>
      <c r="J2" s="45" t="s">
        <v>151</v>
      </c>
      <c r="K2" s="45"/>
      <c r="L2" s="22"/>
      <c r="M2" s="17" t="s">
        <v>53</v>
      </c>
      <c r="N2" s="22" t="s">
        <v>120</v>
      </c>
      <c r="O2" s="22" t="s">
        <v>120</v>
      </c>
      <c r="P2" s="22" t="s">
        <v>120</v>
      </c>
      <c r="Q2" s="22" t="s">
        <v>120</v>
      </c>
      <c r="R2" s="22"/>
      <c r="S2" s="22"/>
      <c r="T2" s="22"/>
      <c r="U2" s="22"/>
      <c r="V2" s="22"/>
      <c r="W2" s="22"/>
      <c r="X2" s="6" t="s">
        <v>22</v>
      </c>
      <c r="Y2" s="6"/>
      <c r="Z2" s="6"/>
      <c r="AA2" s="6"/>
      <c r="AB2" s="24"/>
      <c r="AC2" s="22"/>
      <c r="AD2" s="22"/>
      <c r="AE2" s="22"/>
      <c r="AF2" s="22"/>
      <c r="AG2" s="22"/>
      <c r="AH2" s="22"/>
      <c r="AI2" s="22"/>
      <c r="AJ2" s="22"/>
      <c r="AK2" s="22"/>
      <c r="AL2" s="6" t="s">
        <v>21</v>
      </c>
      <c r="AM2" s="13" t="s">
        <v>37</v>
      </c>
      <c r="AN2" s="7" t="s">
        <v>38</v>
      </c>
      <c r="AO2" s="22"/>
      <c r="AP2" s="22"/>
      <c r="AQ2" s="22"/>
      <c r="AR2" s="22"/>
      <c r="AS2" s="22"/>
      <c r="AT2" s="22"/>
      <c r="AU2" s="22"/>
      <c r="AV2" s="22"/>
    </row>
    <row r="3" spans="1:48" ht="16.5" thickTop="1" x14ac:dyDescent="0.25">
      <c r="A3" s="2">
        <v>400</v>
      </c>
      <c r="B3" s="18">
        <v>2</v>
      </c>
      <c r="C3" s="18">
        <v>4</v>
      </c>
      <c r="D3" s="18">
        <v>5</v>
      </c>
      <c r="E3" s="18">
        <v>2.5</v>
      </c>
      <c r="F3" s="18">
        <v>2.5</v>
      </c>
      <c r="G3" s="45"/>
      <c r="H3" s="45"/>
      <c r="I3" s="45"/>
      <c r="J3" s="45"/>
      <c r="K3" s="45"/>
      <c r="L3" s="22"/>
      <c r="M3" s="22">
        <f ca="1">INDIRECT("A"&amp;ROW(M3)*5-12)</f>
        <v>400</v>
      </c>
      <c r="N3" s="22">
        <f ca="1">IF(INDIRECT("B"&amp;ROW(N3)*5-12)/100&gt;0,INDIRECT("B"&amp;ROW(N3)*5-12)/100,0)</f>
        <v>0.02</v>
      </c>
      <c r="O3" s="22">
        <f ca="1">IF(INDIRECT("C"&amp;ROW(O3)*5-12)/100&gt;0,INDIRECT("C"&amp;ROW(O3)*5-12)/100,0)</f>
        <v>0.04</v>
      </c>
      <c r="P3" s="22">
        <f ca="1">IF(INDIRECT("D"&amp;ROW(P3)*5-12)/100&gt;0,INDIRECT("D"&amp;ROW(P3)*5-12)/100,0)</f>
        <v>0.05</v>
      </c>
      <c r="Q3" s="22">
        <f ca="1">IF(INDIRECT("E"&amp;ROW(Q3)*5-12)/100&gt;0,INDIRECT("E"&amp;ROW(Q3)*5-12)/100,0)</f>
        <v>2.5000000000000001E-2</v>
      </c>
      <c r="R3" s="22">
        <f ca="1">IF(INDIRECT("F"&amp;ROW(R3)*5-12)/100&gt;0,INDIRECT("F"&amp;ROW(R3)*5-12)/100,0)</f>
        <v>2.5000000000000001E-2</v>
      </c>
      <c r="S3" s="22">
        <f ca="1">IF(INDIRECT("G"&amp;ROW(S3)*5-12)/100&gt;0,INDIRECT("G"&amp;ROW(S3)*5-12)/100,0)</f>
        <v>0</v>
      </c>
      <c r="T3" s="22">
        <f ca="1">IF(INDIRECT("H"&amp;ROW(T3)*5-12)/100&gt;0,INDIRECT("H"&amp;ROW(T3)*5-12)/100,0)</f>
        <v>0</v>
      </c>
      <c r="U3" s="22">
        <f ca="1">IF(INDIRECT("I"&amp;ROW(U3)*5-12)/100&gt;0,INDIRECT("I"&amp;ROW(U3)*5-12)/100,0)</f>
        <v>0</v>
      </c>
      <c r="V3" s="22">
        <f ca="1">IF(INDIRECT("J"&amp;ROW(V3)*5-12)/100&gt;0,INDIRECT("J"&amp;ROW(V3)*5-12)/100,0)</f>
        <v>0</v>
      </c>
      <c r="W3" s="22">
        <f ca="1">IF(INDIRECT("K"&amp;ROW(W3)*5-12)/100&gt;0,INDIRECT("K"&amp;ROW(W3)*5-12)/100,0)</f>
        <v>0</v>
      </c>
      <c r="X3" s="6" t="s">
        <v>54</v>
      </c>
      <c r="Y3" s="9" t="s">
        <v>23</v>
      </c>
      <c r="Z3" s="12" t="s">
        <v>33</v>
      </c>
      <c r="AA3" s="22"/>
      <c r="AB3" s="6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8" t="s">
        <v>39</v>
      </c>
      <c r="AO3" s="22"/>
      <c r="AP3" s="22"/>
      <c r="AQ3" s="22"/>
      <c r="AR3" s="22"/>
      <c r="AS3" s="22"/>
      <c r="AT3" s="22"/>
      <c r="AU3" s="22"/>
      <c r="AV3" s="22"/>
    </row>
    <row r="4" spans="1:48" ht="15.75" x14ac:dyDescent="0.25">
      <c r="A4" s="2">
        <v>399</v>
      </c>
      <c r="B4" s="18">
        <v>4</v>
      </c>
      <c r="C4" s="18">
        <v>4</v>
      </c>
      <c r="D4" s="18">
        <v>5</v>
      </c>
      <c r="E4" s="18">
        <v>2</v>
      </c>
      <c r="F4" s="18">
        <v>2</v>
      </c>
      <c r="G4" s="45"/>
      <c r="H4" s="45"/>
      <c r="I4" s="45"/>
      <c r="J4" s="45"/>
      <c r="K4" s="45"/>
      <c r="L4" s="22"/>
      <c r="M4" s="22">
        <f t="shared" ref="M4:M25" ca="1" si="0">INDIRECT("A"&amp;ROW(M4)*5-12)</f>
        <v>395</v>
      </c>
      <c r="N4" s="22">
        <f t="shared" ref="N4:N25" ca="1" si="1">IF(INDIRECT("B"&amp;ROW(N4)*5-12)/100&gt;0,INDIRECT("B"&amp;ROW(N4)*5-12)/100,0)</f>
        <v>0.04</v>
      </c>
      <c r="O4" s="22">
        <f t="shared" ref="O4:O25" ca="1" si="2">IF(INDIRECT("C"&amp;ROW(O4)*5-12)/100&gt;0,INDIRECT("C"&amp;ROW(O4)*5-12)/100,0)</f>
        <v>0.04</v>
      </c>
      <c r="P4" s="22">
        <f t="shared" ref="P4:P25" ca="1" si="3">IF(INDIRECT("D"&amp;ROW(P4)*5-12)/100&gt;0,INDIRECT("D"&amp;ROW(P4)*5-12)/100,0)</f>
        <v>0.05</v>
      </c>
      <c r="Q4" s="22">
        <f t="shared" ref="Q4:Q25" ca="1" si="4">IF(INDIRECT("E"&amp;ROW(Q4)*5-12)/100&gt;0,INDIRECT("E"&amp;ROW(Q4)*5-12)/100,0)</f>
        <v>0.04</v>
      </c>
      <c r="R4" s="22">
        <f t="shared" ref="R4:R25" ca="1" si="5">IF(INDIRECT("F"&amp;ROW(R4)*5-12)/100&gt;0,INDIRECT("F"&amp;ROW(R4)*5-12)/100,0)</f>
        <v>0.04</v>
      </c>
      <c r="S4" s="22">
        <f t="shared" ref="S4:S25" ca="1" si="6">IF(INDIRECT("G"&amp;ROW(S4)*5-12)/100&gt;0,INDIRECT("G"&amp;ROW(S4)*5-12)/100,0)</f>
        <v>0</v>
      </c>
      <c r="T4" s="22">
        <f t="shared" ref="T4:T25" ca="1" si="7">IF(INDIRECT("H"&amp;ROW(T4)*5-12)/100&gt;0,INDIRECT("H"&amp;ROW(T4)*5-12)/100,0)</f>
        <v>0</v>
      </c>
      <c r="U4" s="22">
        <f t="shared" ref="U4:U25" ca="1" si="8">IF(INDIRECT("I"&amp;ROW(U4)*5-12)/100&gt;0,INDIRECT("I"&amp;ROW(U4)*5-12)/100,0)</f>
        <v>0</v>
      </c>
      <c r="V4" s="22">
        <f t="shared" ref="V4:V25" ca="1" si="9">IF(INDIRECT("J"&amp;ROW(V4)*5-12)/100&gt;0,INDIRECT("J"&amp;ROW(V4)*5-12)/100,0)</f>
        <v>0</v>
      </c>
      <c r="W4" s="22">
        <f t="shared" ref="W4:W25" ca="1" si="10">IF(INDIRECT("K"&amp;ROW(W4)*5-12)/100&gt;0,INDIRECT("K"&amp;ROW(W4)*5-12)/100,0)</f>
        <v>0</v>
      </c>
      <c r="X4" s="6"/>
      <c r="Y4" s="6"/>
      <c r="Z4" s="8" t="s">
        <v>24</v>
      </c>
      <c r="AA4" s="22"/>
      <c r="AB4" s="6"/>
      <c r="AC4" s="22"/>
      <c r="AD4" s="22"/>
      <c r="AE4" s="22"/>
      <c r="AF4" s="22"/>
      <c r="AG4" s="22"/>
      <c r="AH4" s="22"/>
      <c r="AI4" s="22"/>
      <c r="AJ4" s="22"/>
      <c r="AK4" s="22"/>
      <c r="AL4" s="14" t="s">
        <v>43</v>
      </c>
      <c r="AM4" s="6"/>
      <c r="AN4" s="6"/>
      <c r="AO4" s="22"/>
      <c r="AP4" s="22"/>
      <c r="AQ4" s="22"/>
      <c r="AR4" s="22"/>
      <c r="AS4" s="22"/>
      <c r="AT4" s="22"/>
      <c r="AU4" s="22"/>
      <c r="AV4" s="22"/>
    </row>
    <row r="5" spans="1:48" ht="15.75" x14ac:dyDescent="0.25">
      <c r="A5" s="2">
        <v>398</v>
      </c>
      <c r="B5" s="18">
        <v>5</v>
      </c>
      <c r="C5" s="18">
        <v>5</v>
      </c>
      <c r="D5" s="18">
        <v>5</v>
      </c>
      <c r="E5" s="18">
        <v>1</v>
      </c>
      <c r="F5" s="18">
        <v>1</v>
      </c>
      <c r="G5" s="45"/>
      <c r="H5" s="45"/>
      <c r="I5" s="45"/>
      <c r="J5" s="45"/>
      <c r="K5" s="45"/>
      <c r="L5" s="22"/>
      <c r="M5" s="22">
        <f t="shared" ca="1" si="0"/>
        <v>390</v>
      </c>
      <c r="N5" s="22">
        <f t="shared" ca="1" si="1"/>
        <v>0.04</v>
      </c>
      <c r="O5" s="22">
        <f t="shared" ca="1" si="2"/>
        <v>0.04</v>
      </c>
      <c r="P5" s="22">
        <f t="shared" ca="1" si="3"/>
        <v>0.05</v>
      </c>
      <c r="Q5" s="22">
        <f t="shared" ca="1" si="4"/>
        <v>0.01</v>
      </c>
      <c r="R5" s="22">
        <f t="shared" ca="1" si="5"/>
        <v>0.01</v>
      </c>
      <c r="S5" s="22">
        <f t="shared" ca="1" si="6"/>
        <v>0</v>
      </c>
      <c r="T5" s="22">
        <f t="shared" ca="1" si="7"/>
        <v>0</v>
      </c>
      <c r="U5" s="22">
        <f t="shared" ca="1" si="8"/>
        <v>0</v>
      </c>
      <c r="V5" s="22">
        <f t="shared" ca="1" si="9"/>
        <v>0</v>
      </c>
      <c r="W5" s="22">
        <f t="shared" ca="1" si="10"/>
        <v>0</v>
      </c>
      <c r="X5" s="6" t="s">
        <v>25</v>
      </c>
      <c r="Y5" s="23" t="s">
        <v>28</v>
      </c>
      <c r="Z5" s="23" t="s">
        <v>30</v>
      </c>
      <c r="AA5" s="6" t="s">
        <v>26</v>
      </c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</row>
    <row r="6" spans="1:48" ht="15.75" x14ac:dyDescent="0.25">
      <c r="A6" s="2">
        <v>397</v>
      </c>
      <c r="B6" s="18">
        <v>4</v>
      </c>
      <c r="C6" s="18">
        <v>4</v>
      </c>
      <c r="D6" s="18">
        <v>5</v>
      </c>
      <c r="E6" s="18">
        <v>2</v>
      </c>
      <c r="F6" s="18">
        <v>2</v>
      </c>
      <c r="G6" s="45"/>
      <c r="H6" s="45"/>
      <c r="I6" s="45"/>
      <c r="J6" s="45"/>
      <c r="K6" s="45"/>
      <c r="L6" s="22"/>
      <c r="M6" s="22">
        <f t="shared" ca="1" si="0"/>
        <v>385</v>
      </c>
      <c r="N6" s="22">
        <f t="shared" ca="1" si="1"/>
        <v>0.04</v>
      </c>
      <c r="O6" s="22">
        <f t="shared" ca="1" si="2"/>
        <v>0.04</v>
      </c>
      <c r="P6" s="22">
        <f t="shared" ca="1" si="3"/>
        <v>0.05</v>
      </c>
      <c r="Q6" s="22">
        <f t="shared" ca="1" si="4"/>
        <v>0.01</v>
      </c>
      <c r="R6" s="22">
        <f t="shared" ca="1" si="5"/>
        <v>0.01</v>
      </c>
      <c r="S6" s="22">
        <f t="shared" ca="1" si="6"/>
        <v>0</v>
      </c>
      <c r="T6" s="22">
        <f t="shared" ca="1" si="7"/>
        <v>0</v>
      </c>
      <c r="U6" s="22">
        <f t="shared" ca="1" si="8"/>
        <v>0</v>
      </c>
      <c r="V6" s="22">
        <f t="shared" ca="1" si="9"/>
        <v>0</v>
      </c>
      <c r="W6" s="22">
        <f t="shared" ca="1" si="10"/>
        <v>0</v>
      </c>
      <c r="X6" s="6" t="s">
        <v>1</v>
      </c>
      <c r="Y6" s="23" t="s">
        <v>35</v>
      </c>
      <c r="Z6" s="23" t="s">
        <v>36</v>
      </c>
      <c r="AA6" s="6" t="s">
        <v>27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</row>
    <row r="7" spans="1:48" ht="15.75" x14ac:dyDescent="0.25">
      <c r="A7" s="2">
        <v>396</v>
      </c>
      <c r="B7" s="18">
        <v>4</v>
      </c>
      <c r="C7" s="18">
        <v>4</v>
      </c>
      <c r="D7" s="18">
        <v>5</v>
      </c>
      <c r="E7" s="18">
        <v>3</v>
      </c>
      <c r="F7" s="18">
        <v>3</v>
      </c>
      <c r="G7" s="45"/>
      <c r="H7" s="45"/>
      <c r="I7" s="45"/>
      <c r="J7" s="45"/>
      <c r="K7" s="45"/>
      <c r="L7" s="22"/>
      <c r="M7" s="22">
        <f t="shared" ca="1" si="0"/>
        <v>380</v>
      </c>
      <c r="N7" s="22">
        <f t="shared" ca="1" si="1"/>
        <v>0.04</v>
      </c>
      <c r="O7" s="22">
        <f t="shared" ca="1" si="2"/>
        <v>0.04</v>
      </c>
      <c r="P7" s="22">
        <f t="shared" ca="1" si="3"/>
        <v>0.05</v>
      </c>
      <c r="Q7" s="22">
        <f t="shared" ca="1" si="4"/>
        <v>0.01</v>
      </c>
      <c r="R7" s="22">
        <f t="shared" ca="1" si="5"/>
        <v>0.01</v>
      </c>
      <c r="S7" s="22">
        <f t="shared" ca="1" si="6"/>
        <v>0</v>
      </c>
      <c r="T7" s="22">
        <f t="shared" ca="1" si="7"/>
        <v>0</v>
      </c>
      <c r="U7" s="22">
        <f t="shared" ca="1" si="8"/>
        <v>0</v>
      </c>
      <c r="V7" s="22">
        <f t="shared" ca="1" si="9"/>
        <v>0</v>
      </c>
      <c r="W7" s="22">
        <f t="shared" ca="1" si="10"/>
        <v>0</v>
      </c>
      <c r="X7" s="22">
        <f t="shared" ref="X7:X29" ca="1" si="11">M3</f>
        <v>400</v>
      </c>
      <c r="Y7" s="29">
        <v>1.22E-4</v>
      </c>
      <c r="Z7" s="22">
        <v>1.18</v>
      </c>
      <c r="AA7" s="22">
        <f ca="1">N3</f>
        <v>0.02</v>
      </c>
      <c r="AB7" s="22">
        <f t="shared" ref="AB7:AJ22" ca="1" si="12">O3</f>
        <v>0.04</v>
      </c>
      <c r="AC7" s="22">
        <f t="shared" ca="1" si="12"/>
        <v>0.05</v>
      </c>
      <c r="AD7" s="22">
        <f t="shared" ca="1" si="12"/>
        <v>2.5000000000000001E-2</v>
      </c>
      <c r="AE7" s="22">
        <f t="shared" ca="1" si="12"/>
        <v>2.5000000000000001E-2</v>
      </c>
      <c r="AF7" s="22">
        <f t="shared" ca="1" si="12"/>
        <v>0</v>
      </c>
      <c r="AG7" s="22">
        <f t="shared" ca="1" si="12"/>
        <v>0</v>
      </c>
      <c r="AH7" s="22">
        <f t="shared" ca="1" si="12"/>
        <v>0</v>
      </c>
      <c r="AI7" s="22">
        <f t="shared" ca="1" si="12"/>
        <v>0</v>
      </c>
      <c r="AJ7" s="22">
        <f t="shared" ca="1" si="12"/>
        <v>0</v>
      </c>
      <c r="AK7" s="22"/>
      <c r="AL7" s="22"/>
      <c r="AM7" s="31">
        <f ca="1">SUM(AA7:AA24)/18</f>
        <v>3.888888888888889E-2</v>
      </c>
      <c r="AN7" s="31">
        <f t="shared" ref="AN7:AV7" ca="1" si="13">SUM(AB7:AB24)/18</f>
        <v>4.0000000000000008E-2</v>
      </c>
      <c r="AO7" s="31">
        <f t="shared" ca="1" si="13"/>
        <v>5.0000000000000017E-2</v>
      </c>
      <c r="AP7" s="31">
        <f t="shared" ca="1" si="13"/>
        <v>1.1944444444444447E-2</v>
      </c>
      <c r="AQ7" s="31">
        <f t="shared" ca="1" si="13"/>
        <v>1.1944444444444447E-2</v>
      </c>
      <c r="AR7" s="31">
        <f t="shared" ca="1" si="13"/>
        <v>0</v>
      </c>
      <c r="AS7" s="31">
        <f t="shared" ca="1" si="13"/>
        <v>0</v>
      </c>
      <c r="AT7" s="31">
        <f t="shared" ca="1" si="13"/>
        <v>0</v>
      </c>
      <c r="AU7" s="31">
        <f t="shared" ca="1" si="13"/>
        <v>0</v>
      </c>
      <c r="AV7" s="31">
        <f t="shared" ca="1" si="13"/>
        <v>0</v>
      </c>
    </row>
    <row r="8" spans="1:48" ht="15.75" x14ac:dyDescent="0.25">
      <c r="A8" s="2">
        <v>395</v>
      </c>
      <c r="B8" s="18">
        <v>4</v>
      </c>
      <c r="C8" s="18">
        <v>4</v>
      </c>
      <c r="D8" s="18">
        <v>5</v>
      </c>
      <c r="E8" s="18">
        <v>4</v>
      </c>
      <c r="F8" s="18">
        <v>4</v>
      </c>
      <c r="G8" s="45"/>
      <c r="H8" s="45"/>
      <c r="I8" s="45"/>
      <c r="J8" s="45"/>
      <c r="K8" s="45"/>
      <c r="L8" s="22"/>
      <c r="M8" s="22">
        <f t="shared" ca="1" si="0"/>
        <v>375</v>
      </c>
      <c r="N8" s="22">
        <f t="shared" ca="1" si="1"/>
        <v>0.04</v>
      </c>
      <c r="O8" s="22">
        <f t="shared" ca="1" si="2"/>
        <v>0.04</v>
      </c>
      <c r="P8" s="22">
        <f t="shared" ca="1" si="3"/>
        <v>0.05</v>
      </c>
      <c r="Q8" s="22">
        <f t="shared" ca="1" si="4"/>
        <v>0.01</v>
      </c>
      <c r="R8" s="22">
        <f t="shared" ca="1" si="5"/>
        <v>0.01</v>
      </c>
      <c r="S8" s="22">
        <f t="shared" ca="1" si="6"/>
        <v>0</v>
      </c>
      <c r="T8" s="22">
        <f t="shared" ca="1" si="7"/>
        <v>0</v>
      </c>
      <c r="U8" s="22">
        <f t="shared" ca="1" si="8"/>
        <v>0</v>
      </c>
      <c r="V8" s="22">
        <f t="shared" ca="1" si="9"/>
        <v>0</v>
      </c>
      <c r="W8" s="22">
        <f t="shared" ca="1" si="10"/>
        <v>0</v>
      </c>
      <c r="X8" s="22">
        <f t="shared" ca="1" si="11"/>
        <v>395</v>
      </c>
      <c r="Y8" s="29">
        <v>1.45E-4</v>
      </c>
      <c r="Z8" s="22">
        <v>0.69299999999999995</v>
      </c>
      <c r="AA8" s="22">
        <f t="shared" ref="AA8:AJ23" ca="1" si="14">N4</f>
        <v>0.04</v>
      </c>
      <c r="AB8" s="22">
        <f t="shared" ca="1" si="12"/>
        <v>0.04</v>
      </c>
      <c r="AC8" s="22">
        <f t="shared" ca="1" si="12"/>
        <v>0.05</v>
      </c>
      <c r="AD8" s="22">
        <f t="shared" ca="1" si="12"/>
        <v>0.04</v>
      </c>
      <c r="AE8" s="22">
        <f t="shared" ca="1" si="12"/>
        <v>0.04</v>
      </c>
      <c r="AF8" s="22">
        <f t="shared" ca="1" si="12"/>
        <v>0</v>
      </c>
      <c r="AG8" s="22">
        <f t="shared" ca="1" si="12"/>
        <v>0</v>
      </c>
      <c r="AH8" s="22">
        <f t="shared" ca="1" si="12"/>
        <v>0</v>
      </c>
      <c r="AI8" s="22">
        <f t="shared" ca="1" si="12"/>
        <v>0</v>
      </c>
      <c r="AJ8" s="22">
        <f t="shared" ca="1" si="12"/>
        <v>0</v>
      </c>
      <c r="AK8" s="22"/>
      <c r="AL8" s="22"/>
      <c r="AM8" s="31">
        <f ca="1">SUM(AA24:AA29)/6</f>
        <v>0.04</v>
      </c>
      <c r="AN8" s="31">
        <f t="shared" ref="AN8:AV8" ca="1" si="15">SUM(AB24:AB29)/6</f>
        <v>0.04</v>
      </c>
      <c r="AO8" s="31">
        <f t="shared" ca="1" si="15"/>
        <v>4.9999999999999996E-2</v>
      </c>
      <c r="AP8" s="31">
        <f t="shared" ca="1" si="15"/>
        <v>0.01</v>
      </c>
      <c r="AQ8" s="31">
        <f t="shared" ca="1" si="15"/>
        <v>0.01</v>
      </c>
      <c r="AR8" s="31">
        <f t="shared" ca="1" si="15"/>
        <v>0</v>
      </c>
      <c r="AS8" s="31">
        <f t="shared" ca="1" si="15"/>
        <v>0</v>
      </c>
      <c r="AT8" s="31">
        <f t="shared" ca="1" si="15"/>
        <v>0</v>
      </c>
      <c r="AU8" s="31">
        <f t="shared" ca="1" si="15"/>
        <v>0</v>
      </c>
      <c r="AV8" s="31">
        <f t="shared" ca="1" si="15"/>
        <v>0</v>
      </c>
    </row>
    <row r="9" spans="1:48" ht="15.75" x14ac:dyDescent="0.25">
      <c r="A9" s="2">
        <v>394</v>
      </c>
      <c r="B9" s="18">
        <v>4</v>
      </c>
      <c r="C9" s="18">
        <v>4</v>
      </c>
      <c r="D9" s="18">
        <v>5</v>
      </c>
      <c r="E9" s="18">
        <v>2</v>
      </c>
      <c r="F9" s="18">
        <v>2</v>
      </c>
      <c r="G9" s="45"/>
      <c r="H9" s="45"/>
      <c r="I9" s="45"/>
      <c r="J9" s="45"/>
      <c r="K9" s="45"/>
      <c r="L9" s="22"/>
      <c r="M9" s="22">
        <f t="shared" ca="1" si="0"/>
        <v>370</v>
      </c>
      <c r="N9" s="22">
        <f t="shared" ca="1" si="1"/>
        <v>0.04</v>
      </c>
      <c r="O9" s="22">
        <f t="shared" ca="1" si="2"/>
        <v>0.04</v>
      </c>
      <c r="P9" s="22">
        <f t="shared" ca="1" si="3"/>
        <v>0.05</v>
      </c>
      <c r="Q9" s="22">
        <f t="shared" ca="1" si="4"/>
        <v>0.01</v>
      </c>
      <c r="R9" s="22">
        <f t="shared" ca="1" si="5"/>
        <v>0.01</v>
      </c>
      <c r="S9" s="22">
        <f t="shared" ca="1" si="6"/>
        <v>0</v>
      </c>
      <c r="T9" s="22">
        <f t="shared" ca="1" si="7"/>
        <v>0</v>
      </c>
      <c r="U9" s="22">
        <f t="shared" ca="1" si="8"/>
        <v>0</v>
      </c>
      <c r="V9" s="22">
        <f t="shared" ca="1" si="9"/>
        <v>0</v>
      </c>
      <c r="W9" s="22">
        <f t="shared" ca="1" si="10"/>
        <v>0</v>
      </c>
      <c r="X9" s="22">
        <f t="shared" ca="1" si="11"/>
        <v>390</v>
      </c>
      <c r="Y9" s="29">
        <v>1.7200000000000001E-4</v>
      </c>
      <c r="Z9" s="22">
        <v>0.89700000000000002</v>
      </c>
      <c r="AA9" s="22">
        <f t="shared" ca="1" si="14"/>
        <v>0.04</v>
      </c>
      <c r="AB9" s="22">
        <f t="shared" ca="1" si="12"/>
        <v>0.04</v>
      </c>
      <c r="AC9" s="22">
        <f t="shared" ca="1" si="12"/>
        <v>0.05</v>
      </c>
      <c r="AD9" s="22">
        <f t="shared" ca="1" si="12"/>
        <v>0.01</v>
      </c>
      <c r="AE9" s="22">
        <f t="shared" ca="1" si="12"/>
        <v>0.01</v>
      </c>
      <c r="AF9" s="22">
        <f t="shared" ca="1" si="12"/>
        <v>0</v>
      </c>
      <c r="AG9" s="22">
        <f t="shared" ca="1" si="12"/>
        <v>0</v>
      </c>
      <c r="AH9" s="22">
        <f t="shared" ca="1" si="12"/>
        <v>0</v>
      </c>
      <c r="AI9" s="22">
        <f t="shared" ca="1" si="12"/>
        <v>0</v>
      </c>
      <c r="AJ9" s="22">
        <f t="shared" ca="1" si="12"/>
        <v>0</v>
      </c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</row>
    <row r="10" spans="1:48" ht="15.75" x14ac:dyDescent="0.25">
      <c r="A10" s="2">
        <v>393</v>
      </c>
      <c r="B10" s="18">
        <v>4</v>
      </c>
      <c r="C10" s="18">
        <v>4</v>
      </c>
      <c r="D10" s="18">
        <v>5</v>
      </c>
      <c r="E10" s="18">
        <v>5</v>
      </c>
      <c r="F10" s="18">
        <v>5</v>
      </c>
      <c r="G10" s="45"/>
      <c r="H10" s="45"/>
      <c r="I10" s="45"/>
      <c r="J10" s="45"/>
      <c r="K10" s="45"/>
      <c r="L10" s="22"/>
      <c r="M10" s="22">
        <f t="shared" ca="1" si="0"/>
        <v>365</v>
      </c>
      <c r="N10" s="22">
        <f t="shared" ca="1" si="1"/>
        <v>0.04</v>
      </c>
      <c r="O10" s="22">
        <f t="shared" ca="1" si="2"/>
        <v>0.04</v>
      </c>
      <c r="P10" s="22">
        <f t="shared" ca="1" si="3"/>
        <v>0.05</v>
      </c>
      <c r="Q10" s="22">
        <f t="shared" ca="1" si="4"/>
        <v>0.01</v>
      </c>
      <c r="R10" s="22">
        <f t="shared" ca="1" si="5"/>
        <v>0.01</v>
      </c>
      <c r="S10" s="22">
        <f t="shared" ca="1" si="6"/>
        <v>0</v>
      </c>
      <c r="T10" s="22">
        <f t="shared" ca="1" si="7"/>
        <v>0</v>
      </c>
      <c r="U10" s="22">
        <f t="shared" ca="1" si="8"/>
        <v>0</v>
      </c>
      <c r="V10" s="22">
        <f t="shared" ca="1" si="9"/>
        <v>0</v>
      </c>
      <c r="W10" s="22">
        <f t="shared" ca="1" si="10"/>
        <v>0</v>
      </c>
      <c r="X10" s="22">
        <f t="shared" ca="1" si="11"/>
        <v>385</v>
      </c>
      <c r="Y10" s="29">
        <v>2.04E-4</v>
      </c>
      <c r="Z10" s="22">
        <v>0.69299999999999995</v>
      </c>
      <c r="AA10" s="22">
        <f t="shared" ca="1" si="14"/>
        <v>0.04</v>
      </c>
      <c r="AB10" s="22">
        <f t="shared" ca="1" si="12"/>
        <v>0.04</v>
      </c>
      <c r="AC10" s="22">
        <f t="shared" ca="1" si="12"/>
        <v>0.05</v>
      </c>
      <c r="AD10" s="22">
        <f t="shared" ca="1" si="12"/>
        <v>0.01</v>
      </c>
      <c r="AE10" s="22">
        <f t="shared" ca="1" si="12"/>
        <v>0.01</v>
      </c>
      <c r="AF10" s="22">
        <f t="shared" ca="1" si="12"/>
        <v>0</v>
      </c>
      <c r="AG10" s="22">
        <f t="shared" ca="1" si="12"/>
        <v>0</v>
      </c>
      <c r="AH10" s="22">
        <f t="shared" ca="1" si="12"/>
        <v>0</v>
      </c>
      <c r="AI10" s="22">
        <f t="shared" ca="1" si="12"/>
        <v>0</v>
      </c>
      <c r="AJ10" s="22">
        <f t="shared" ca="1" si="12"/>
        <v>0</v>
      </c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</row>
    <row r="11" spans="1:48" ht="15.75" x14ac:dyDescent="0.25">
      <c r="A11" s="2">
        <v>392</v>
      </c>
      <c r="B11" s="18">
        <v>4</v>
      </c>
      <c r="C11" s="18">
        <v>4</v>
      </c>
      <c r="D11" s="18">
        <v>5</v>
      </c>
      <c r="E11" s="18">
        <v>1</v>
      </c>
      <c r="F11" s="18">
        <v>1</v>
      </c>
      <c r="G11" s="45"/>
      <c r="H11" s="45"/>
      <c r="I11" s="45"/>
      <c r="J11" s="45"/>
      <c r="K11" s="45"/>
      <c r="L11" s="22"/>
      <c r="M11" s="22">
        <f t="shared" ca="1" si="0"/>
        <v>360</v>
      </c>
      <c r="N11" s="22">
        <f t="shared" ca="1" si="1"/>
        <v>0.04</v>
      </c>
      <c r="O11" s="22">
        <f t="shared" ca="1" si="2"/>
        <v>0.04</v>
      </c>
      <c r="P11" s="22">
        <f t="shared" ca="1" si="3"/>
        <v>0.05</v>
      </c>
      <c r="Q11" s="22">
        <f t="shared" ca="1" si="4"/>
        <v>0.01</v>
      </c>
      <c r="R11" s="22">
        <f t="shared" ca="1" si="5"/>
        <v>0.01</v>
      </c>
      <c r="S11" s="22">
        <f t="shared" ca="1" si="6"/>
        <v>0</v>
      </c>
      <c r="T11" s="22">
        <f t="shared" ca="1" si="7"/>
        <v>0</v>
      </c>
      <c r="U11" s="22">
        <f t="shared" ca="1" si="8"/>
        <v>0</v>
      </c>
      <c r="V11" s="22">
        <f t="shared" ca="1" si="9"/>
        <v>0</v>
      </c>
      <c r="W11" s="22">
        <f t="shared" ca="1" si="10"/>
        <v>0</v>
      </c>
      <c r="X11" s="22">
        <f t="shared" ca="1" si="11"/>
        <v>380</v>
      </c>
      <c r="Y11" s="29">
        <v>2.43E-4</v>
      </c>
      <c r="Z11" s="22">
        <v>0.90200000000000002</v>
      </c>
      <c r="AA11" s="22">
        <f t="shared" ca="1" si="14"/>
        <v>0.04</v>
      </c>
      <c r="AB11" s="22">
        <f t="shared" ca="1" si="12"/>
        <v>0.04</v>
      </c>
      <c r="AC11" s="22">
        <f t="shared" ca="1" si="12"/>
        <v>0.05</v>
      </c>
      <c r="AD11" s="22">
        <f t="shared" ca="1" si="12"/>
        <v>0.01</v>
      </c>
      <c r="AE11" s="22">
        <f t="shared" ca="1" si="12"/>
        <v>0.01</v>
      </c>
      <c r="AF11" s="22">
        <f t="shared" ca="1" si="12"/>
        <v>0</v>
      </c>
      <c r="AG11" s="22">
        <f t="shared" ca="1" si="12"/>
        <v>0</v>
      </c>
      <c r="AH11" s="22">
        <f t="shared" ca="1" si="12"/>
        <v>0</v>
      </c>
      <c r="AI11" s="22">
        <f t="shared" ca="1" si="12"/>
        <v>0</v>
      </c>
      <c r="AJ11" s="22">
        <f t="shared" ca="1" si="12"/>
        <v>0</v>
      </c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</row>
    <row r="12" spans="1:48" ht="15.75" x14ac:dyDescent="0.25">
      <c r="A12" s="2">
        <v>391</v>
      </c>
      <c r="B12" s="18">
        <v>4</v>
      </c>
      <c r="C12" s="18">
        <v>4</v>
      </c>
      <c r="D12" s="18">
        <v>5</v>
      </c>
      <c r="E12" s="18">
        <v>4.3214285714285703</v>
      </c>
      <c r="F12" s="18">
        <v>4.3214285714285703</v>
      </c>
      <c r="G12" s="45"/>
      <c r="H12" s="45"/>
      <c r="I12" s="45"/>
      <c r="J12" s="45"/>
      <c r="K12" s="45"/>
      <c r="L12" s="22"/>
      <c r="M12" s="22">
        <f t="shared" ca="1" si="0"/>
        <v>355</v>
      </c>
      <c r="N12" s="22">
        <f t="shared" ca="1" si="1"/>
        <v>0.04</v>
      </c>
      <c r="O12" s="22">
        <f t="shared" ca="1" si="2"/>
        <v>0.04</v>
      </c>
      <c r="P12" s="22">
        <f t="shared" ca="1" si="3"/>
        <v>0.05</v>
      </c>
      <c r="Q12" s="22">
        <f t="shared" ca="1" si="4"/>
        <v>0.01</v>
      </c>
      <c r="R12" s="22">
        <f t="shared" ca="1" si="5"/>
        <v>0.01</v>
      </c>
      <c r="S12" s="22">
        <f t="shared" ca="1" si="6"/>
        <v>0</v>
      </c>
      <c r="T12" s="22">
        <f t="shared" ca="1" si="7"/>
        <v>0</v>
      </c>
      <c r="U12" s="22">
        <f t="shared" ca="1" si="8"/>
        <v>0</v>
      </c>
      <c r="V12" s="22">
        <f t="shared" ca="1" si="9"/>
        <v>0</v>
      </c>
      <c r="W12" s="22">
        <f t="shared" ca="1" si="10"/>
        <v>0</v>
      </c>
      <c r="X12" s="22">
        <f t="shared" ca="1" si="11"/>
        <v>375</v>
      </c>
      <c r="Y12" s="29">
        <v>2.9E-4</v>
      </c>
      <c r="Z12" s="22">
        <v>0.78</v>
      </c>
      <c r="AA12" s="22">
        <f t="shared" ca="1" si="14"/>
        <v>0.04</v>
      </c>
      <c r="AB12" s="22">
        <f t="shared" ca="1" si="12"/>
        <v>0.04</v>
      </c>
      <c r="AC12" s="22">
        <f t="shared" ca="1" si="12"/>
        <v>0.05</v>
      </c>
      <c r="AD12" s="22">
        <f t="shared" ca="1" si="12"/>
        <v>0.01</v>
      </c>
      <c r="AE12" s="22">
        <f t="shared" ca="1" si="12"/>
        <v>0.01</v>
      </c>
      <c r="AF12" s="22">
        <f t="shared" ca="1" si="12"/>
        <v>0</v>
      </c>
      <c r="AG12" s="22">
        <f t="shared" ca="1" si="12"/>
        <v>0</v>
      </c>
      <c r="AH12" s="22">
        <f t="shared" ca="1" si="12"/>
        <v>0</v>
      </c>
      <c r="AI12" s="22">
        <f t="shared" ca="1" si="12"/>
        <v>0</v>
      </c>
      <c r="AJ12" s="22">
        <f t="shared" ca="1" si="12"/>
        <v>0</v>
      </c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</row>
    <row r="13" spans="1:48" ht="15.75" x14ac:dyDescent="0.25">
      <c r="A13" s="2">
        <v>390</v>
      </c>
      <c r="B13" s="18">
        <v>4</v>
      </c>
      <c r="C13" s="18">
        <v>4</v>
      </c>
      <c r="D13" s="18">
        <v>5</v>
      </c>
      <c r="E13" s="18">
        <v>1</v>
      </c>
      <c r="F13" s="18">
        <v>1</v>
      </c>
      <c r="G13" s="45"/>
      <c r="H13" s="45"/>
      <c r="I13" s="45"/>
      <c r="J13" s="45"/>
      <c r="K13" s="45"/>
      <c r="L13" s="22"/>
      <c r="M13" s="22">
        <f t="shared" ca="1" si="0"/>
        <v>350</v>
      </c>
      <c r="N13" s="22">
        <f t="shared" ca="1" si="1"/>
        <v>0.04</v>
      </c>
      <c r="O13" s="22">
        <f t="shared" ca="1" si="2"/>
        <v>0.04</v>
      </c>
      <c r="P13" s="22">
        <f t="shared" ca="1" si="3"/>
        <v>0.05</v>
      </c>
      <c r="Q13" s="22">
        <f t="shared" ca="1" si="4"/>
        <v>0</v>
      </c>
      <c r="R13" s="22">
        <f t="shared" ca="1" si="5"/>
        <v>0</v>
      </c>
      <c r="S13" s="22">
        <f t="shared" ca="1" si="6"/>
        <v>0</v>
      </c>
      <c r="T13" s="22">
        <f t="shared" ca="1" si="7"/>
        <v>0</v>
      </c>
      <c r="U13" s="22">
        <f t="shared" ca="1" si="8"/>
        <v>0</v>
      </c>
      <c r="V13" s="22">
        <f t="shared" ca="1" si="9"/>
        <v>0</v>
      </c>
      <c r="W13" s="22">
        <f t="shared" ca="1" si="10"/>
        <v>0</v>
      </c>
      <c r="X13" s="22">
        <f t="shared" ca="1" si="11"/>
        <v>370</v>
      </c>
      <c r="Y13" s="29">
        <v>3.4000000000000002E-4</v>
      </c>
      <c r="Z13" s="22">
        <v>0.876</v>
      </c>
      <c r="AA13" s="22">
        <f t="shared" ca="1" si="14"/>
        <v>0.04</v>
      </c>
      <c r="AB13" s="22">
        <f t="shared" ca="1" si="12"/>
        <v>0.04</v>
      </c>
      <c r="AC13" s="22">
        <f t="shared" ca="1" si="12"/>
        <v>0.05</v>
      </c>
      <c r="AD13" s="22">
        <f t="shared" ca="1" si="12"/>
        <v>0.01</v>
      </c>
      <c r="AE13" s="22">
        <f t="shared" ca="1" si="12"/>
        <v>0.01</v>
      </c>
      <c r="AF13" s="22">
        <f t="shared" ca="1" si="12"/>
        <v>0</v>
      </c>
      <c r="AG13" s="22">
        <f t="shared" ca="1" si="12"/>
        <v>0</v>
      </c>
      <c r="AH13" s="22">
        <f t="shared" ca="1" si="12"/>
        <v>0</v>
      </c>
      <c r="AI13" s="22">
        <f t="shared" ca="1" si="12"/>
        <v>0</v>
      </c>
      <c r="AJ13" s="22">
        <f t="shared" ca="1" si="12"/>
        <v>0</v>
      </c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</row>
    <row r="14" spans="1:48" ht="15.75" x14ac:dyDescent="0.25">
      <c r="A14" s="2">
        <v>389</v>
      </c>
      <c r="B14" s="18">
        <v>4</v>
      </c>
      <c r="C14" s="18">
        <v>4</v>
      </c>
      <c r="D14" s="18">
        <v>5</v>
      </c>
      <c r="E14" s="18">
        <v>1</v>
      </c>
      <c r="F14" s="18">
        <v>1</v>
      </c>
      <c r="G14" s="45"/>
      <c r="H14" s="45"/>
      <c r="I14" s="45"/>
      <c r="J14" s="45"/>
      <c r="K14" s="45"/>
      <c r="L14" s="22"/>
      <c r="M14" s="22">
        <f t="shared" ca="1" si="0"/>
        <v>345</v>
      </c>
      <c r="N14" s="22">
        <f t="shared" ca="1" si="1"/>
        <v>0.04</v>
      </c>
      <c r="O14" s="22">
        <f t="shared" ca="1" si="2"/>
        <v>0.04</v>
      </c>
      <c r="P14" s="22">
        <f t="shared" ca="1" si="3"/>
        <v>0.05</v>
      </c>
      <c r="Q14" s="22">
        <f t="shared" ca="1" si="4"/>
        <v>0.01</v>
      </c>
      <c r="R14" s="22">
        <f t="shared" ca="1" si="5"/>
        <v>0.01</v>
      </c>
      <c r="S14" s="22">
        <f t="shared" ca="1" si="6"/>
        <v>0</v>
      </c>
      <c r="T14" s="22">
        <f t="shared" ca="1" si="7"/>
        <v>0</v>
      </c>
      <c r="U14" s="22">
        <f t="shared" ca="1" si="8"/>
        <v>0</v>
      </c>
      <c r="V14" s="22">
        <f t="shared" ca="1" si="9"/>
        <v>0</v>
      </c>
      <c r="W14" s="22">
        <f t="shared" ca="1" si="10"/>
        <v>0</v>
      </c>
      <c r="X14" s="22">
        <f t="shared" ca="1" si="11"/>
        <v>365</v>
      </c>
      <c r="Y14" s="29">
        <v>4.0999999999999999E-4</v>
      </c>
      <c r="Z14" s="22">
        <v>0.84899999999999998</v>
      </c>
      <c r="AA14" s="22">
        <f t="shared" ca="1" si="14"/>
        <v>0.04</v>
      </c>
      <c r="AB14" s="22">
        <f t="shared" ca="1" si="12"/>
        <v>0.04</v>
      </c>
      <c r="AC14" s="22">
        <f t="shared" ca="1" si="12"/>
        <v>0.05</v>
      </c>
      <c r="AD14" s="22">
        <f t="shared" ca="1" si="12"/>
        <v>0.01</v>
      </c>
      <c r="AE14" s="22">
        <f t="shared" ca="1" si="12"/>
        <v>0.01</v>
      </c>
      <c r="AF14" s="22">
        <f t="shared" ca="1" si="12"/>
        <v>0</v>
      </c>
      <c r="AG14" s="22">
        <f t="shared" ca="1" si="12"/>
        <v>0</v>
      </c>
      <c r="AH14" s="22">
        <f t="shared" ca="1" si="12"/>
        <v>0</v>
      </c>
      <c r="AI14" s="22">
        <f t="shared" ca="1" si="12"/>
        <v>0</v>
      </c>
      <c r="AJ14" s="22">
        <f t="shared" ca="1" si="12"/>
        <v>0</v>
      </c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</row>
    <row r="15" spans="1:48" ht="15.75" x14ac:dyDescent="0.25">
      <c r="A15" s="2">
        <v>388</v>
      </c>
      <c r="B15" s="18">
        <v>4</v>
      </c>
      <c r="C15" s="18">
        <v>4</v>
      </c>
      <c r="D15" s="18">
        <v>5</v>
      </c>
      <c r="E15" s="18">
        <v>-1</v>
      </c>
      <c r="F15" s="18">
        <v>-1</v>
      </c>
      <c r="G15" s="45"/>
      <c r="H15" s="45"/>
      <c r="I15" s="45"/>
      <c r="J15" s="45"/>
      <c r="K15" s="45"/>
      <c r="L15" s="22"/>
      <c r="M15" s="22">
        <f t="shared" ca="1" si="0"/>
        <v>340</v>
      </c>
      <c r="N15" s="22">
        <f t="shared" ca="1" si="1"/>
        <v>0.04</v>
      </c>
      <c r="O15" s="22">
        <f t="shared" ca="1" si="2"/>
        <v>0.04</v>
      </c>
      <c r="P15" s="22">
        <f t="shared" ca="1" si="3"/>
        <v>0.05</v>
      </c>
      <c r="Q15" s="22">
        <f t="shared" ca="1" si="4"/>
        <v>0.01</v>
      </c>
      <c r="R15" s="22">
        <f t="shared" ca="1" si="5"/>
        <v>0.01</v>
      </c>
      <c r="S15" s="22">
        <f t="shared" ca="1" si="6"/>
        <v>0</v>
      </c>
      <c r="T15" s="22">
        <f t="shared" ca="1" si="7"/>
        <v>0</v>
      </c>
      <c r="U15" s="22">
        <f t="shared" ca="1" si="8"/>
        <v>0</v>
      </c>
      <c r="V15" s="22">
        <f t="shared" ca="1" si="9"/>
        <v>0</v>
      </c>
      <c r="W15" s="22">
        <f t="shared" ca="1" si="10"/>
        <v>0</v>
      </c>
      <c r="X15" s="22">
        <f t="shared" ca="1" si="11"/>
        <v>360</v>
      </c>
      <c r="Y15" s="29">
        <v>4.8000000000000001E-4</v>
      </c>
      <c r="Z15" s="22">
        <v>0.67400000000000004</v>
      </c>
      <c r="AA15" s="22">
        <f t="shared" ca="1" si="14"/>
        <v>0.04</v>
      </c>
      <c r="AB15" s="22">
        <f t="shared" ca="1" si="12"/>
        <v>0.04</v>
      </c>
      <c r="AC15" s="22">
        <f t="shared" ca="1" si="12"/>
        <v>0.05</v>
      </c>
      <c r="AD15" s="22">
        <f t="shared" ca="1" si="12"/>
        <v>0.01</v>
      </c>
      <c r="AE15" s="22">
        <f t="shared" ca="1" si="12"/>
        <v>0.01</v>
      </c>
      <c r="AF15" s="22">
        <f t="shared" ca="1" si="12"/>
        <v>0</v>
      </c>
      <c r="AG15" s="22">
        <f t="shared" ca="1" si="12"/>
        <v>0</v>
      </c>
      <c r="AH15" s="22">
        <f t="shared" ca="1" si="12"/>
        <v>0</v>
      </c>
      <c r="AI15" s="22">
        <f t="shared" ca="1" si="12"/>
        <v>0</v>
      </c>
      <c r="AJ15" s="22">
        <f t="shared" ca="1" si="12"/>
        <v>0</v>
      </c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</row>
    <row r="16" spans="1:48" ht="15.75" x14ac:dyDescent="0.25">
      <c r="A16" s="2">
        <v>387</v>
      </c>
      <c r="B16" s="18">
        <v>4</v>
      </c>
      <c r="C16" s="18">
        <v>4</v>
      </c>
      <c r="D16" s="18">
        <v>5</v>
      </c>
      <c r="E16" s="18">
        <v>1</v>
      </c>
      <c r="F16" s="18">
        <v>1</v>
      </c>
      <c r="G16" s="45"/>
      <c r="H16" s="45"/>
      <c r="I16" s="45"/>
      <c r="J16" s="45"/>
      <c r="K16" s="45"/>
      <c r="L16" s="22"/>
      <c r="M16" s="22">
        <f t="shared" ca="1" si="0"/>
        <v>335</v>
      </c>
      <c r="N16" s="22">
        <f t="shared" ca="1" si="1"/>
        <v>0.04</v>
      </c>
      <c r="O16" s="22">
        <f t="shared" ca="1" si="2"/>
        <v>0.04</v>
      </c>
      <c r="P16" s="22">
        <f t="shared" ca="1" si="3"/>
        <v>0.05</v>
      </c>
      <c r="Q16" s="22">
        <f t="shared" ca="1" si="4"/>
        <v>0.01</v>
      </c>
      <c r="R16" s="22">
        <f t="shared" ca="1" si="5"/>
        <v>0.01</v>
      </c>
      <c r="S16" s="22">
        <f t="shared" ca="1" si="6"/>
        <v>0</v>
      </c>
      <c r="T16" s="22">
        <f t="shared" ca="1" si="7"/>
        <v>0</v>
      </c>
      <c r="U16" s="22">
        <f t="shared" ca="1" si="8"/>
        <v>0</v>
      </c>
      <c r="V16" s="22">
        <f t="shared" ca="1" si="9"/>
        <v>0</v>
      </c>
      <c r="W16" s="22">
        <f t="shared" ca="1" si="10"/>
        <v>0</v>
      </c>
      <c r="X16" s="22">
        <f t="shared" ca="1" si="11"/>
        <v>355</v>
      </c>
      <c r="Y16" s="29">
        <v>5.8E-4</v>
      </c>
      <c r="Z16" s="22">
        <v>0.74299999999999999</v>
      </c>
      <c r="AA16" s="22">
        <f t="shared" ca="1" si="14"/>
        <v>0.04</v>
      </c>
      <c r="AB16" s="22">
        <f t="shared" ca="1" si="12"/>
        <v>0.04</v>
      </c>
      <c r="AC16" s="22">
        <f t="shared" ca="1" si="12"/>
        <v>0.05</v>
      </c>
      <c r="AD16" s="22">
        <f t="shared" ca="1" si="12"/>
        <v>0.01</v>
      </c>
      <c r="AE16" s="22">
        <f t="shared" ca="1" si="12"/>
        <v>0.01</v>
      </c>
      <c r="AF16" s="22">
        <f t="shared" ca="1" si="12"/>
        <v>0</v>
      </c>
      <c r="AG16" s="22">
        <f t="shared" ca="1" si="12"/>
        <v>0</v>
      </c>
      <c r="AH16" s="22">
        <f t="shared" ca="1" si="12"/>
        <v>0</v>
      </c>
      <c r="AI16" s="22">
        <f t="shared" ca="1" si="12"/>
        <v>0</v>
      </c>
      <c r="AJ16" s="22">
        <f t="shared" ca="1" si="12"/>
        <v>0</v>
      </c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</row>
    <row r="17" spans="1:48" ht="15.75" x14ac:dyDescent="0.25">
      <c r="A17" s="2">
        <v>386</v>
      </c>
      <c r="B17" s="18">
        <v>4</v>
      </c>
      <c r="C17" s="18">
        <v>4</v>
      </c>
      <c r="D17" s="18">
        <v>5</v>
      </c>
      <c r="E17" s="18">
        <v>1</v>
      </c>
      <c r="F17" s="18">
        <v>1</v>
      </c>
      <c r="G17" s="45"/>
      <c r="H17" s="45"/>
      <c r="I17" s="45"/>
      <c r="J17" s="45"/>
      <c r="K17" s="45"/>
      <c r="L17" s="22"/>
      <c r="M17" s="22">
        <f t="shared" ca="1" si="0"/>
        <v>330</v>
      </c>
      <c r="N17" s="22">
        <f t="shared" ca="1" si="1"/>
        <v>0.04</v>
      </c>
      <c r="O17" s="22">
        <f t="shared" ca="1" si="2"/>
        <v>0.04</v>
      </c>
      <c r="P17" s="22">
        <f t="shared" ca="1" si="3"/>
        <v>0.05</v>
      </c>
      <c r="Q17" s="22">
        <f t="shared" ca="1" si="4"/>
        <v>0.01</v>
      </c>
      <c r="R17" s="22">
        <f t="shared" ca="1" si="5"/>
        <v>0.01</v>
      </c>
      <c r="S17" s="22">
        <f t="shared" ca="1" si="6"/>
        <v>0</v>
      </c>
      <c r="T17" s="22">
        <f t="shared" ca="1" si="7"/>
        <v>0</v>
      </c>
      <c r="U17" s="22">
        <f t="shared" ca="1" si="8"/>
        <v>0</v>
      </c>
      <c r="V17" s="22">
        <f t="shared" ca="1" si="9"/>
        <v>0</v>
      </c>
      <c r="W17" s="22">
        <f t="shared" ca="1" si="10"/>
        <v>0</v>
      </c>
      <c r="X17" s="22">
        <f t="shared" ca="1" si="11"/>
        <v>350</v>
      </c>
      <c r="Y17" s="29">
        <v>6.8000000000000005E-4</v>
      </c>
      <c r="Z17" s="22">
        <v>0.69199999999999995</v>
      </c>
      <c r="AA17" s="22">
        <f t="shared" ca="1" si="14"/>
        <v>0.04</v>
      </c>
      <c r="AB17" s="22">
        <f t="shared" ca="1" si="12"/>
        <v>0.04</v>
      </c>
      <c r="AC17" s="22">
        <f t="shared" ca="1" si="12"/>
        <v>0.05</v>
      </c>
      <c r="AD17" s="22">
        <f t="shared" ca="1" si="12"/>
        <v>0</v>
      </c>
      <c r="AE17" s="22">
        <f t="shared" ca="1" si="12"/>
        <v>0</v>
      </c>
      <c r="AF17" s="22">
        <f t="shared" ca="1" si="12"/>
        <v>0</v>
      </c>
      <c r="AG17" s="22">
        <f t="shared" ca="1" si="12"/>
        <v>0</v>
      </c>
      <c r="AH17" s="22">
        <f t="shared" ca="1" si="12"/>
        <v>0</v>
      </c>
      <c r="AI17" s="22">
        <f t="shared" ca="1" si="12"/>
        <v>0</v>
      </c>
      <c r="AJ17" s="22">
        <f t="shared" ca="1" si="12"/>
        <v>0</v>
      </c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</row>
    <row r="18" spans="1:48" ht="15.75" x14ac:dyDescent="0.25">
      <c r="A18" s="2">
        <v>385</v>
      </c>
      <c r="B18" s="18">
        <v>4</v>
      </c>
      <c r="C18" s="18">
        <v>4</v>
      </c>
      <c r="D18" s="18">
        <v>5</v>
      </c>
      <c r="E18" s="18">
        <v>1</v>
      </c>
      <c r="F18" s="18">
        <v>1</v>
      </c>
      <c r="G18" s="45"/>
      <c r="H18" s="45"/>
      <c r="I18" s="45"/>
      <c r="J18" s="45"/>
      <c r="K18" s="45"/>
      <c r="L18" s="22"/>
      <c r="M18" s="22">
        <f t="shared" ca="1" si="0"/>
        <v>325</v>
      </c>
      <c r="N18" s="22">
        <f t="shared" ca="1" si="1"/>
        <v>0.04</v>
      </c>
      <c r="O18" s="22">
        <f t="shared" ca="1" si="2"/>
        <v>0.04</v>
      </c>
      <c r="P18" s="22">
        <f t="shared" ca="1" si="3"/>
        <v>0.05</v>
      </c>
      <c r="Q18" s="22">
        <f t="shared" ca="1" si="4"/>
        <v>0.01</v>
      </c>
      <c r="R18" s="22">
        <f t="shared" ca="1" si="5"/>
        <v>0.01</v>
      </c>
      <c r="S18" s="22">
        <f t="shared" ca="1" si="6"/>
        <v>0</v>
      </c>
      <c r="T18" s="22">
        <f t="shared" ca="1" si="7"/>
        <v>0</v>
      </c>
      <c r="U18" s="22">
        <f t="shared" ca="1" si="8"/>
        <v>0</v>
      </c>
      <c r="V18" s="22">
        <f t="shared" ca="1" si="9"/>
        <v>0</v>
      </c>
      <c r="W18" s="22">
        <f t="shared" ca="1" si="10"/>
        <v>0</v>
      </c>
      <c r="X18" s="22">
        <f t="shared" ca="1" si="11"/>
        <v>345</v>
      </c>
      <c r="Y18" s="29">
        <v>8.0999999999999996E-4</v>
      </c>
      <c r="Z18" s="22">
        <v>0.65</v>
      </c>
      <c r="AA18" s="22">
        <f t="shared" ca="1" si="14"/>
        <v>0.04</v>
      </c>
      <c r="AB18" s="22">
        <f t="shared" ca="1" si="12"/>
        <v>0.04</v>
      </c>
      <c r="AC18" s="22">
        <f t="shared" ca="1" si="12"/>
        <v>0.05</v>
      </c>
      <c r="AD18" s="22">
        <f t="shared" ca="1" si="12"/>
        <v>0.01</v>
      </c>
      <c r="AE18" s="22">
        <f t="shared" ca="1" si="12"/>
        <v>0.01</v>
      </c>
      <c r="AF18" s="22">
        <f t="shared" ca="1" si="12"/>
        <v>0</v>
      </c>
      <c r="AG18" s="22">
        <f t="shared" ca="1" si="12"/>
        <v>0</v>
      </c>
      <c r="AH18" s="22">
        <f t="shared" ca="1" si="12"/>
        <v>0</v>
      </c>
      <c r="AI18" s="22">
        <f t="shared" ca="1" si="12"/>
        <v>0</v>
      </c>
      <c r="AJ18" s="22">
        <f t="shared" ca="1" si="12"/>
        <v>0</v>
      </c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</row>
    <row r="19" spans="1:48" ht="15.75" x14ac:dyDescent="0.25">
      <c r="A19" s="2">
        <v>384</v>
      </c>
      <c r="B19" s="18">
        <v>4</v>
      </c>
      <c r="C19" s="18">
        <v>4</v>
      </c>
      <c r="D19" s="18">
        <v>5</v>
      </c>
      <c r="E19" s="18">
        <v>1</v>
      </c>
      <c r="F19" s="18">
        <v>1</v>
      </c>
      <c r="G19" s="45"/>
      <c r="H19" s="45"/>
      <c r="I19" s="45"/>
      <c r="J19" s="45"/>
      <c r="K19" s="45"/>
      <c r="L19" s="22"/>
      <c r="M19" s="22">
        <f t="shared" ca="1" si="0"/>
        <v>320</v>
      </c>
      <c r="N19" s="22">
        <f t="shared" ca="1" si="1"/>
        <v>0.04</v>
      </c>
      <c r="O19" s="22">
        <f t="shared" ca="1" si="2"/>
        <v>0.04</v>
      </c>
      <c r="P19" s="22">
        <f t="shared" ca="1" si="3"/>
        <v>0.05</v>
      </c>
      <c r="Q19" s="22">
        <f t="shared" ca="1" si="4"/>
        <v>0.01</v>
      </c>
      <c r="R19" s="22">
        <f t="shared" ca="1" si="5"/>
        <v>0.01</v>
      </c>
      <c r="S19" s="22">
        <f t="shared" ca="1" si="6"/>
        <v>0</v>
      </c>
      <c r="T19" s="22">
        <f t="shared" ca="1" si="7"/>
        <v>0</v>
      </c>
      <c r="U19" s="22">
        <f t="shared" ca="1" si="8"/>
        <v>0</v>
      </c>
      <c r="V19" s="22">
        <f t="shared" ca="1" si="9"/>
        <v>0</v>
      </c>
      <c r="W19" s="22">
        <f t="shared" ca="1" si="10"/>
        <v>0</v>
      </c>
      <c r="X19" s="22">
        <f t="shared" ca="1" si="11"/>
        <v>340</v>
      </c>
      <c r="Y19" s="29">
        <v>9.7000000000000005E-4</v>
      </c>
      <c r="Z19" s="22">
        <v>0.67500000000000004</v>
      </c>
      <c r="AA19" s="22">
        <f t="shared" ca="1" si="14"/>
        <v>0.04</v>
      </c>
      <c r="AB19" s="22">
        <f t="shared" ca="1" si="12"/>
        <v>0.04</v>
      </c>
      <c r="AC19" s="22">
        <f t="shared" ca="1" si="12"/>
        <v>0.05</v>
      </c>
      <c r="AD19" s="22">
        <f t="shared" ca="1" si="12"/>
        <v>0.01</v>
      </c>
      <c r="AE19" s="22">
        <f t="shared" ca="1" si="12"/>
        <v>0.01</v>
      </c>
      <c r="AF19" s="22">
        <f t="shared" ca="1" si="12"/>
        <v>0</v>
      </c>
      <c r="AG19" s="22">
        <f t="shared" ca="1" si="12"/>
        <v>0</v>
      </c>
      <c r="AH19" s="22">
        <f t="shared" ca="1" si="12"/>
        <v>0</v>
      </c>
      <c r="AI19" s="22">
        <f t="shared" ca="1" si="12"/>
        <v>0</v>
      </c>
      <c r="AJ19" s="22">
        <f t="shared" ca="1" si="12"/>
        <v>0</v>
      </c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</row>
    <row r="20" spans="1:48" ht="15.75" x14ac:dyDescent="0.25">
      <c r="A20" s="2">
        <v>383</v>
      </c>
      <c r="B20" s="18">
        <v>4</v>
      </c>
      <c r="C20" s="18">
        <v>4</v>
      </c>
      <c r="D20" s="18">
        <v>5</v>
      </c>
      <c r="E20" s="18">
        <v>1</v>
      </c>
      <c r="F20" s="18">
        <v>1</v>
      </c>
      <c r="G20" s="45"/>
      <c r="H20" s="45"/>
      <c r="I20" s="45"/>
      <c r="J20" s="45"/>
      <c r="K20" s="45"/>
      <c r="L20" s="22"/>
      <c r="M20" s="22">
        <f t="shared" ca="1" si="0"/>
        <v>315</v>
      </c>
      <c r="N20" s="22">
        <f t="shared" ca="1" si="1"/>
        <v>0.04</v>
      </c>
      <c r="O20" s="22">
        <f t="shared" ca="1" si="2"/>
        <v>0.04</v>
      </c>
      <c r="P20" s="22">
        <f t="shared" ca="1" si="3"/>
        <v>0.05</v>
      </c>
      <c r="Q20" s="22">
        <f t="shared" ca="1" si="4"/>
        <v>0.01</v>
      </c>
      <c r="R20" s="22">
        <f t="shared" ca="1" si="5"/>
        <v>0.01</v>
      </c>
      <c r="S20" s="22">
        <f t="shared" ca="1" si="6"/>
        <v>0</v>
      </c>
      <c r="T20" s="22">
        <f t="shared" ca="1" si="7"/>
        <v>0</v>
      </c>
      <c r="U20" s="22">
        <f t="shared" ca="1" si="8"/>
        <v>0</v>
      </c>
      <c r="V20" s="22">
        <f t="shared" ca="1" si="9"/>
        <v>0</v>
      </c>
      <c r="W20" s="22">
        <f t="shared" ca="1" si="10"/>
        <v>0</v>
      </c>
      <c r="X20" s="22">
        <f t="shared" ca="1" si="11"/>
        <v>335</v>
      </c>
      <c r="Y20" s="29">
        <v>1.15E-3</v>
      </c>
      <c r="Z20" s="22">
        <v>0.60199999999999998</v>
      </c>
      <c r="AA20" s="22">
        <f t="shared" ca="1" si="14"/>
        <v>0.04</v>
      </c>
      <c r="AB20" s="22">
        <f t="shared" ca="1" si="12"/>
        <v>0.04</v>
      </c>
      <c r="AC20" s="22">
        <f t="shared" ca="1" si="12"/>
        <v>0.05</v>
      </c>
      <c r="AD20" s="22">
        <f t="shared" ca="1" si="12"/>
        <v>0.01</v>
      </c>
      <c r="AE20" s="22">
        <f t="shared" ca="1" si="12"/>
        <v>0.01</v>
      </c>
      <c r="AF20" s="22">
        <f t="shared" ca="1" si="12"/>
        <v>0</v>
      </c>
      <c r="AG20" s="22">
        <f t="shared" ca="1" si="12"/>
        <v>0</v>
      </c>
      <c r="AH20" s="22">
        <f t="shared" ca="1" si="12"/>
        <v>0</v>
      </c>
      <c r="AI20" s="22">
        <f t="shared" ca="1" si="12"/>
        <v>0</v>
      </c>
      <c r="AJ20" s="22">
        <f t="shared" ca="1" si="12"/>
        <v>0</v>
      </c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</row>
    <row r="21" spans="1:48" ht="15.75" x14ac:dyDescent="0.25">
      <c r="A21" s="2">
        <v>382</v>
      </c>
      <c r="B21" s="18">
        <v>4</v>
      </c>
      <c r="C21" s="18">
        <v>4</v>
      </c>
      <c r="D21" s="18">
        <v>5</v>
      </c>
      <c r="E21" s="18">
        <v>1</v>
      </c>
      <c r="F21" s="18">
        <v>1</v>
      </c>
      <c r="G21" s="45"/>
      <c r="H21" s="45"/>
      <c r="I21" s="45"/>
      <c r="J21" s="45"/>
      <c r="K21" s="45"/>
      <c r="L21" s="22"/>
      <c r="M21" s="22">
        <f t="shared" ca="1" si="0"/>
        <v>310</v>
      </c>
      <c r="N21" s="22">
        <f t="shared" ca="1" si="1"/>
        <v>0.04</v>
      </c>
      <c r="O21" s="22">
        <f t="shared" ca="1" si="2"/>
        <v>0.04</v>
      </c>
      <c r="P21" s="22">
        <f t="shared" ca="1" si="3"/>
        <v>0.05</v>
      </c>
      <c r="Q21" s="22">
        <f t="shared" ca="1" si="4"/>
        <v>0.01</v>
      </c>
      <c r="R21" s="22">
        <f t="shared" ca="1" si="5"/>
        <v>0.01</v>
      </c>
      <c r="S21" s="22">
        <f t="shared" ca="1" si="6"/>
        <v>0</v>
      </c>
      <c r="T21" s="22">
        <f t="shared" ca="1" si="7"/>
        <v>0</v>
      </c>
      <c r="U21" s="22">
        <f t="shared" ca="1" si="8"/>
        <v>0</v>
      </c>
      <c r="V21" s="22">
        <f t="shared" ca="1" si="9"/>
        <v>0</v>
      </c>
      <c r="W21" s="22">
        <f t="shared" ca="1" si="10"/>
        <v>0</v>
      </c>
      <c r="X21" s="22">
        <f t="shared" ca="1" si="11"/>
        <v>330</v>
      </c>
      <c r="Y21" s="29">
        <v>1.3600000000000001E-3</v>
      </c>
      <c r="Z21" s="22">
        <v>0.629</v>
      </c>
      <c r="AA21" s="22">
        <f t="shared" ca="1" si="14"/>
        <v>0.04</v>
      </c>
      <c r="AB21" s="22">
        <f t="shared" ca="1" si="12"/>
        <v>0.04</v>
      </c>
      <c r="AC21" s="22">
        <f t="shared" ca="1" si="12"/>
        <v>0.05</v>
      </c>
      <c r="AD21" s="22">
        <f t="shared" ca="1" si="12"/>
        <v>0.01</v>
      </c>
      <c r="AE21" s="22">
        <f t="shared" ca="1" si="12"/>
        <v>0.01</v>
      </c>
      <c r="AF21" s="22">
        <f t="shared" ca="1" si="12"/>
        <v>0</v>
      </c>
      <c r="AG21" s="22">
        <f t="shared" ca="1" si="12"/>
        <v>0</v>
      </c>
      <c r="AH21" s="22">
        <f t="shared" ca="1" si="12"/>
        <v>0</v>
      </c>
      <c r="AI21" s="22">
        <f t="shared" ca="1" si="12"/>
        <v>0</v>
      </c>
      <c r="AJ21" s="22">
        <f t="shared" ca="1" si="12"/>
        <v>0</v>
      </c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</row>
    <row r="22" spans="1:48" ht="15.75" x14ac:dyDescent="0.25">
      <c r="A22" s="2">
        <v>381</v>
      </c>
      <c r="B22" s="18">
        <v>4</v>
      </c>
      <c r="C22" s="18">
        <v>4</v>
      </c>
      <c r="D22" s="18">
        <v>5</v>
      </c>
      <c r="E22" s="18">
        <v>1</v>
      </c>
      <c r="F22" s="18">
        <v>1</v>
      </c>
      <c r="G22" s="45"/>
      <c r="H22" s="45"/>
      <c r="I22" s="45"/>
      <c r="J22" s="45"/>
      <c r="K22" s="45"/>
      <c r="L22" s="22"/>
      <c r="M22" s="22">
        <f t="shared" ca="1" si="0"/>
        <v>305</v>
      </c>
      <c r="N22" s="22">
        <f t="shared" ca="1" si="1"/>
        <v>0.04</v>
      </c>
      <c r="O22" s="22">
        <f t="shared" ca="1" si="2"/>
        <v>0.04</v>
      </c>
      <c r="P22" s="22">
        <f t="shared" ca="1" si="3"/>
        <v>0.05</v>
      </c>
      <c r="Q22" s="22">
        <f t="shared" ca="1" si="4"/>
        <v>0.01</v>
      </c>
      <c r="R22" s="22">
        <f t="shared" ca="1" si="5"/>
        <v>0.01</v>
      </c>
      <c r="S22" s="22">
        <f t="shared" ca="1" si="6"/>
        <v>0</v>
      </c>
      <c r="T22" s="22">
        <f t="shared" ca="1" si="7"/>
        <v>0</v>
      </c>
      <c r="U22" s="22">
        <f t="shared" ca="1" si="8"/>
        <v>0</v>
      </c>
      <c r="V22" s="22">
        <f t="shared" ca="1" si="9"/>
        <v>0</v>
      </c>
      <c r="W22" s="22">
        <f t="shared" ca="1" si="10"/>
        <v>0</v>
      </c>
      <c r="X22" s="22">
        <f t="shared" ca="1" si="11"/>
        <v>325</v>
      </c>
      <c r="Y22" s="29">
        <v>2.8999999999999998E-3</v>
      </c>
      <c r="Z22" s="22">
        <v>0.49399999999999999</v>
      </c>
      <c r="AA22" s="22">
        <f t="shared" ca="1" si="14"/>
        <v>0.04</v>
      </c>
      <c r="AB22" s="22">
        <f t="shared" ca="1" si="12"/>
        <v>0.04</v>
      </c>
      <c r="AC22" s="22">
        <f t="shared" ca="1" si="12"/>
        <v>0.05</v>
      </c>
      <c r="AD22" s="22">
        <f t="shared" ca="1" si="12"/>
        <v>0.01</v>
      </c>
      <c r="AE22" s="22">
        <f t="shared" ca="1" si="12"/>
        <v>0.01</v>
      </c>
      <c r="AF22" s="22">
        <f t="shared" ca="1" si="12"/>
        <v>0</v>
      </c>
      <c r="AG22" s="22">
        <f t="shared" ca="1" si="12"/>
        <v>0</v>
      </c>
      <c r="AH22" s="22">
        <f t="shared" ca="1" si="12"/>
        <v>0</v>
      </c>
      <c r="AI22" s="22">
        <f t="shared" ca="1" si="12"/>
        <v>0</v>
      </c>
      <c r="AJ22" s="22">
        <f t="shared" ca="1" si="12"/>
        <v>0</v>
      </c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</row>
    <row r="23" spans="1:48" ht="15.75" x14ac:dyDescent="0.25">
      <c r="A23" s="2">
        <v>380</v>
      </c>
      <c r="B23" s="18">
        <v>4</v>
      </c>
      <c r="C23" s="18">
        <v>4</v>
      </c>
      <c r="D23" s="18">
        <v>5</v>
      </c>
      <c r="E23" s="18">
        <v>1</v>
      </c>
      <c r="F23" s="18">
        <v>1</v>
      </c>
      <c r="G23" s="45"/>
      <c r="H23" s="45"/>
      <c r="I23" s="45"/>
      <c r="J23" s="45"/>
      <c r="K23" s="45"/>
      <c r="L23" s="22"/>
      <c r="M23" s="22">
        <f t="shared" ca="1" si="0"/>
        <v>300</v>
      </c>
      <c r="N23" s="22">
        <f t="shared" ca="1" si="1"/>
        <v>0.04</v>
      </c>
      <c r="O23" s="22">
        <f t="shared" ca="1" si="2"/>
        <v>0.04</v>
      </c>
      <c r="P23" s="22">
        <f t="shared" ca="1" si="3"/>
        <v>0.05</v>
      </c>
      <c r="Q23" s="22">
        <f t="shared" ca="1" si="4"/>
        <v>0.01</v>
      </c>
      <c r="R23" s="22">
        <f t="shared" ca="1" si="5"/>
        <v>0.01</v>
      </c>
      <c r="S23" s="22">
        <f t="shared" ca="1" si="6"/>
        <v>0</v>
      </c>
      <c r="T23" s="22">
        <f t="shared" ca="1" si="7"/>
        <v>0</v>
      </c>
      <c r="U23" s="22">
        <f t="shared" ca="1" si="8"/>
        <v>0</v>
      </c>
      <c r="V23" s="22">
        <f t="shared" ca="1" si="9"/>
        <v>0</v>
      </c>
      <c r="W23" s="22">
        <f t="shared" ca="1" si="10"/>
        <v>0</v>
      </c>
      <c r="X23" s="22">
        <f t="shared" ca="1" si="11"/>
        <v>320</v>
      </c>
      <c r="Y23" s="29">
        <v>8.6E-3</v>
      </c>
      <c r="Z23" s="22">
        <v>0.375</v>
      </c>
      <c r="AA23" s="22">
        <f t="shared" ca="1" si="14"/>
        <v>0.04</v>
      </c>
      <c r="AB23" s="22">
        <f t="shared" ca="1" si="14"/>
        <v>0.04</v>
      </c>
      <c r="AC23" s="22">
        <f t="shared" ca="1" si="14"/>
        <v>0.05</v>
      </c>
      <c r="AD23" s="22">
        <f t="shared" ca="1" si="14"/>
        <v>0.01</v>
      </c>
      <c r="AE23" s="22">
        <f t="shared" ca="1" si="14"/>
        <v>0.01</v>
      </c>
      <c r="AF23" s="22">
        <f t="shared" ca="1" si="14"/>
        <v>0</v>
      </c>
      <c r="AG23" s="22">
        <f t="shared" ca="1" si="14"/>
        <v>0</v>
      </c>
      <c r="AH23" s="22">
        <f t="shared" ca="1" si="14"/>
        <v>0</v>
      </c>
      <c r="AI23" s="22">
        <f t="shared" ca="1" si="14"/>
        <v>0</v>
      </c>
      <c r="AJ23" s="22">
        <f t="shared" ca="1" si="14"/>
        <v>0</v>
      </c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</row>
    <row r="24" spans="1:48" ht="15.75" x14ac:dyDescent="0.25">
      <c r="A24" s="2">
        <v>379</v>
      </c>
      <c r="B24" s="18">
        <v>4</v>
      </c>
      <c r="C24" s="18">
        <v>4</v>
      </c>
      <c r="D24" s="18">
        <v>5</v>
      </c>
      <c r="E24" s="18">
        <v>1</v>
      </c>
      <c r="F24" s="18">
        <v>1</v>
      </c>
      <c r="G24" s="45"/>
      <c r="H24" s="45"/>
      <c r="I24" s="45"/>
      <c r="J24" s="45"/>
      <c r="K24" s="45"/>
      <c r="L24" s="22"/>
      <c r="M24" s="22">
        <f t="shared" ca="1" si="0"/>
        <v>295</v>
      </c>
      <c r="N24" s="22">
        <f t="shared" ca="1" si="1"/>
        <v>0.04</v>
      </c>
      <c r="O24" s="22">
        <f t="shared" ca="1" si="2"/>
        <v>0.04</v>
      </c>
      <c r="P24" s="22">
        <f t="shared" ca="1" si="3"/>
        <v>0.05</v>
      </c>
      <c r="Q24" s="22">
        <f t="shared" ca="1" si="4"/>
        <v>0.01</v>
      </c>
      <c r="R24" s="22">
        <f t="shared" ca="1" si="5"/>
        <v>0.01</v>
      </c>
      <c r="S24" s="22">
        <f t="shared" ca="1" si="6"/>
        <v>0</v>
      </c>
      <c r="T24" s="22">
        <f t="shared" ca="1" si="7"/>
        <v>0</v>
      </c>
      <c r="U24" s="22">
        <f t="shared" ca="1" si="8"/>
        <v>0</v>
      </c>
      <c r="V24" s="22">
        <f t="shared" ca="1" si="9"/>
        <v>0</v>
      </c>
      <c r="W24" s="22">
        <f t="shared" ca="1" si="10"/>
        <v>0</v>
      </c>
      <c r="X24" s="22">
        <f t="shared" ca="1" si="11"/>
        <v>315</v>
      </c>
      <c r="Y24" s="29">
        <v>2.52E-2</v>
      </c>
      <c r="Z24" s="22">
        <v>0.28199999999999997</v>
      </c>
      <c r="AA24" s="22">
        <f t="shared" ref="AA24:AJ29" ca="1" si="16">N20</f>
        <v>0.04</v>
      </c>
      <c r="AB24" s="22">
        <f t="shared" ca="1" si="16"/>
        <v>0.04</v>
      </c>
      <c r="AC24" s="22">
        <f t="shared" ca="1" si="16"/>
        <v>0.05</v>
      </c>
      <c r="AD24" s="22">
        <f t="shared" ca="1" si="16"/>
        <v>0.01</v>
      </c>
      <c r="AE24" s="22">
        <f t="shared" ca="1" si="16"/>
        <v>0.01</v>
      </c>
      <c r="AF24" s="22">
        <f t="shared" ca="1" si="16"/>
        <v>0</v>
      </c>
      <c r="AG24" s="22">
        <f t="shared" ca="1" si="16"/>
        <v>0</v>
      </c>
      <c r="AH24" s="22">
        <f t="shared" ca="1" si="16"/>
        <v>0</v>
      </c>
      <c r="AI24" s="22">
        <f t="shared" ca="1" si="16"/>
        <v>0</v>
      </c>
      <c r="AJ24" s="22">
        <f t="shared" ca="1" si="16"/>
        <v>0</v>
      </c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</row>
    <row r="25" spans="1:48" ht="15.75" x14ac:dyDescent="0.25">
      <c r="A25" s="2">
        <v>378</v>
      </c>
      <c r="B25" s="18">
        <v>4</v>
      </c>
      <c r="C25" s="18">
        <v>4</v>
      </c>
      <c r="D25" s="18">
        <v>5</v>
      </c>
      <c r="E25" s="18">
        <v>1</v>
      </c>
      <c r="F25" s="18">
        <v>1</v>
      </c>
      <c r="G25" s="45"/>
      <c r="H25" s="45"/>
      <c r="I25" s="45"/>
      <c r="J25" s="45"/>
      <c r="K25" s="45"/>
      <c r="L25" s="22"/>
      <c r="M25" s="22">
        <f t="shared" ca="1" si="0"/>
        <v>290</v>
      </c>
      <c r="N25" s="22">
        <f t="shared" ca="1" si="1"/>
        <v>0.04</v>
      </c>
      <c r="O25" s="22">
        <f t="shared" ca="1" si="2"/>
        <v>0.04</v>
      </c>
      <c r="P25" s="22">
        <f t="shared" ca="1" si="3"/>
        <v>0.05</v>
      </c>
      <c r="Q25" s="22">
        <f t="shared" ca="1" si="4"/>
        <v>0.01</v>
      </c>
      <c r="R25" s="22">
        <f t="shared" ca="1" si="5"/>
        <v>0.01</v>
      </c>
      <c r="S25" s="22">
        <f t="shared" ca="1" si="6"/>
        <v>0</v>
      </c>
      <c r="T25" s="22">
        <f t="shared" ca="1" si="7"/>
        <v>0</v>
      </c>
      <c r="U25" s="22">
        <f t="shared" ca="1" si="8"/>
        <v>0</v>
      </c>
      <c r="V25" s="22">
        <f t="shared" ca="1" si="9"/>
        <v>0</v>
      </c>
      <c r="W25" s="22">
        <f t="shared" ca="1" si="10"/>
        <v>0</v>
      </c>
      <c r="X25" s="22">
        <f t="shared" ca="1" si="11"/>
        <v>310</v>
      </c>
      <c r="Y25" s="29">
        <v>7.4499999999999997E-2</v>
      </c>
      <c r="Z25" s="22">
        <v>0.17199999999999999</v>
      </c>
      <c r="AA25" s="22">
        <f t="shared" ca="1" si="16"/>
        <v>0.04</v>
      </c>
      <c r="AB25" s="22">
        <f t="shared" ca="1" si="16"/>
        <v>0.04</v>
      </c>
      <c r="AC25" s="22">
        <f t="shared" ca="1" si="16"/>
        <v>0.05</v>
      </c>
      <c r="AD25" s="22">
        <f t="shared" ca="1" si="16"/>
        <v>0.01</v>
      </c>
      <c r="AE25" s="22">
        <f t="shared" ca="1" si="16"/>
        <v>0.01</v>
      </c>
      <c r="AF25" s="22">
        <f t="shared" ca="1" si="16"/>
        <v>0</v>
      </c>
      <c r="AG25" s="22">
        <f t="shared" ca="1" si="16"/>
        <v>0</v>
      </c>
      <c r="AH25" s="22">
        <f t="shared" ca="1" si="16"/>
        <v>0</v>
      </c>
      <c r="AI25" s="22">
        <f t="shared" ca="1" si="16"/>
        <v>0</v>
      </c>
      <c r="AJ25" s="22">
        <f t="shared" ca="1" si="16"/>
        <v>0</v>
      </c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</row>
    <row r="26" spans="1:48" ht="15.75" x14ac:dyDescent="0.25">
      <c r="A26" s="2">
        <v>377</v>
      </c>
      <c r="B26" s="18">
        <v>4</v>
      </c>
      <c r="C26" s="18">
        <v>4</v>
      </c>
      <c r="D26" s="18">
        <v>5</v>
      </c>
      <c r="E26" s="18">
        <v>1</v>
      </c>
      <c r="F26" s="18">
        <v>1</v>
      </c>
      <c r="G26" s="45"/>
      <c r="H26" s="45"/>
      <c r="I26" s="45"/>
      <c r="J26" s="45"/>
      <c r="K26" s="45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>
        <f t="shared" ca="1" si="11"/>
        <v>305</v>
      </c>
      <c r="Y26" s="29">
        <v>0.22</v>
      </c>
      <c r="Z26" s="29">
        <v>7.6700000000000004E-2</v>
      </c>
      <c r="AA26" s="22">
        <f t="shared" ca="1" si="16"/>
        <v>0.04</v>
      </c>
      <c r="AB26" s="22">
        <f t="shared" ca="1" si="16"/>
        <v>0.04</v>
      </c>
      <c r="AC26" s="22">
        <f t="shared" ca="1" si="16"/>
        <v>0.05</v>
      </c>
      <c r="AD26" s="22">
        <f t="shared" ca="1" si="16"/>
        <v>0.01</v>
      </c>
      <c r="AE26" s="22">
        <f t="shared" ca="1" si="16"/>
        <v>0.01</v>
      </c>
      <c r="AF26" s="22">
        <f t="shared" ca="1" si="16"/>
        <v>0</v>
      </c>
      <c r="AG26" s="22">
        <f t="shared" ca="1" si="16"/>
        <v>0</v>
      </c>
      <c r="AH26" s="22">
        <f t="shared" ca="1" si="16"/>
        <v>0</v>
      </c>
      <c r="AI26" s="22">
        <f t="shared" ca="1" si="16"/>
        <v>0</v>
      </c>
      <c r="AJ26" s="22">
        <f t="shared" ca="1" si="16"/>
        <v>0</v>
      </c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</row>
    <row r="27" spans="1:48" ht="15.75" x14ac:dyDescent="0.25">
      <c r="A27" s="2">
        <v>376</v>
      </c>
      <c r="B27" s="18">
        <v>4</v>
      </c>
      <c r="C27" s="18">
        <v>4</v>
      </c>
      <c r="D27" s="18">
        <v>5</v>
      </c>
      <c r="E27" s="18">
        <v>1</v>
      </c>
      <c r="F27" s="18">
        <v>1</v>
      </c>
      <c r="G27" s="45"/>
      <c r="H27" s="45"/>
      <c r="I27" s="45"/>
      <c r="J27" s="45"/>
      <c r="K27" s="45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>
        <f t="shared" ca="1" si="11"/>
        <v>300</v>
      </c>
      <c r="Y27" s="29">
        <v>0.64900000000000002</v>
      </c>
      <c r="Z27" s="29">
        <v>1.3599999999999999E-2</v>
      </c>
      <c r="AA27" s="22">
        <f t="shared" ca="1" si="16"/>
        <v>0.04</v>
      </c>
      <c r="AB27" s="22">
        <f t="shared" ca="1" si="16"/>
        <v>0.04</v>
      </c>
      <c r="AC27" s="22">
        <f t="shared" ca="1" si="16"/>
        <v>0.05</v>
      </c>
      <c r="AD27" s="22">
        <f t="shared" ca="1" si="16"/>
        <v>0.01</v>
      </c>
      <c r="AE27" s="22">
        <f t="shared" ca="1" si="16"/>
        <v>0.01</v>
      </c>
      <c r="AF27" s="22">
        <f t="shared" ca="1" si="16"/>
        <v>0</v>
      </c>
      <c r="AG27" s="22">
        <f t="shared" ca="1" si="16"/>
        <v>0</v>
      </c>
      <c r="AH27" s="22">
        <f t="shared" ca="1" si="16"/>
        <v>0</v>
      </c>
      <c r="AI27" s="22">
        <f t="shared" ca="1" si="16"/>
        <v>0</v>
      </c>
      <c r="AJ27" s="22">
        <f t="shared" ca="1" si="16"/>
        <v>0</v>
      </c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</row>
    <row r="28" spans="1:48" ht="15.75" x14ac:dyDescent="0.25">
      <c r="A28" s="2">
        <v>375</v>
      </c>
      <c r="B28" s="18">
        <v>4</v>
      </c>
      <c r="C28" s="18">
        <v>4</v>
      </c>
      <c r="D28" s="18">
        <v>5</v>
      </c>
      <c r="E28" s="18">
        <v>1</v>
      </c>
      <c r="F28" s="18">
        <v>1</v>
      </c>
      <c r="G28" s="45"/>
      <c r="H28" s="45"/>
      <c r="I28" s="45"/>
      <c r="J28" s="45"/>
      <c r="K28" s="45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>
        <f t="shared" ca="1" si="11"/>
        <v>295</v>
      </c>
      <c r="Y28" s="29">
        <v>1</v>
      </c>
      <c r="Z28" s="29">
        <v>1.34E-3</v>
      </c>
      <c r="AA28" s="22">
        <f t="shared" ca="1" si="16"/>
        <v>0.04</v>
      </c>
      <c r="AB28" s="22">
        <f t="shared" ca="1" si="16"/>
        <v>0.04</v>
      </c>
      <c r="AC28" s="22">
        <f t="shared" ca="1" si="16"/>
        <v>0.05</v>
      </c>
      <c r="AD28" s="22">
        <f t="shared" ca="1" si="16"/>
        <v>0.01</v>
      </c>
      <c r="AE28" s="22">
        <f t="shared" ca="1" si="16"/>
        <v>0.01</v>
      </c>
      <c r="AF28" s="22">
        <f t="shared" ca="1" si="16"/>
        <v>0</v>
      </c>
      <c r="AG28" s="22">
        <f t="shared" ca="1" si="16"/>
        <v>0</v>
      </c>
      <c r="AH28" s="22">
        <f t="shared" ca="1" si="16"/>
        <v>0</v>
      </c>
      <c r="AI28" s="22">
        <f t="shared" ca="1" si="16"/>
        <v>0</v>
      </c>
      <c r="AJ28" s="22">
        <f t="shared" ca="1" si="16"/>
        <v>0</v>
      </c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</row>
    <row r="29" spans="1:48" ht="15.75" x14ac:dyDescent="0.25">
      <c r="A29" s="2">
        <v>374</v>
      </c>
      <c r="B29" s="18">
        <v>4</v>
      </c>
      <c r="C29" s="18">
        <v>4</v>
      </c>
      <c r="D29" s="18">
        <v>5</v>
      </c>
      <c r="E29" s="18">
        <v>1</v>
      </c>
      <c r="F29" s="18">
        <v>1</v>
      </c>
      <c r="G29" s="45"/>
      <c r="H29" s="45"/>
      <c r="I29" s="45"/>
      <c r="J29" s="45"/>
      <c r="K29" s="45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>
        <f t="shared" ca="1" si="11"/>
        <v>290</v>
      </c>
      <c r="Y29" s="29">
        <v>1</v>
      </c>
      <c r="Z29" s="29">
        <v>7.5699999999999997E-5</v>
      </c>
      <c r="AA29" s="22">
        <f t="shared" ca="1" si="16"/>
        <v>0.04</v>
      </c>
      <c r="AB29" s="22">
        <f t="shared" ca="1" si="16"/>
        <v>0.04</v>
      </c>
      <c r="AC29" s="22">
        <f t="shared" ca="1" si="16"/>
        <v>0.05</v>
      </c>
      <c r="AD29" s="22">
        <f t="shared" ca="1" si="16"/>
        <v>0.01</v>
      </c>
      <c r="AE29" s="22">
        <f t="shared" ca="1" si="16"/>
        <v>0.01</v>
      </c>
      <c r="AF29" s="22">
        <f t="shared" ca="1" si="16"/>
        <v>0</v>
      </c>
      <c r="AG29" s="22">
        <f t="shared" ca="1" si="16"/>
        <v>0</v>
      </c>
      <c r="AH29" s="22">
        <f t="shared" ca="1" si="16"/>
        <v>0</v>
      </c>
      <c r="AI29" s="22">
        <f t="shared" ca="1" si="16"/>
        <v>0</v>
      </c>
      <c r="AJ29" s="22">
        <f t="shared" ca="1" si="16"/>
        <v>0</v>
      </c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</row>
    <row r="30" spans="1:48" ht="15.75" x14ac:dyDescent="0.25">
      <c r="A30" s="2">
        <v>373</v>
      </c>
      <c r="B30" s="18">
        <v>4</v>
      </c>
      <c r="C30" s="18">
        <v>4</v>
      </c>
      <c r="D30" s="18">
        <v>5</v>
      </c>
      <c r="E30" s="18">
        <v>1</v>
      </c>
      <c r="F30" s="18">
        <v>1</v>
      </c>
      <c r="G30" s="45"/>
      <c r="H30" s="45"/>
      <c r="I30" s="45"/>
      <c r="J30" s="45"/>
      <c r="K30" s="45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 t="s">
        <v>31</v>
      </c>
      <c r="Y30" s="22">
        <f>SUMPRODUCT(Y7:Y29,Z7:Z29)</f>
        <v>5.7279526999999997E-2</v>
      </c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</row>
    <row r="31" spans="1:48" ht="15.75" x14ac:dyDescent="0.25">
      <c r="A31" s="2">
        <v>372</v>
      </c>
      <c r="B31" s="18">
        <v>4</v>
      </c>
      <c r="C31" s="18">
        <v>4</v>
      </c>
      <c r="D31" s="18">
        <v>5</v>
      </c>
      <c r="E31" s="18">
        <v>1</v>
      </c>
      <c r="F31" s="18">
        <v>1</v>
      </c>
      <c r="G31" s="45"/>
      <c r="H31" s="45"/>
      <c r="I31" s="45"/>
      <c r="J31" s="45"/>
      <c r="K31" s="45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 t="s">
        <v>32</v>
      </c>
      <c r="Y31" s="22"/>
      <c r="Z31" s="22"/>
      <c r="AA31" s="22">
        <f ca="1">SUMPRODUCT($Y7:$Y29,$Z7:$Z29,AA7:AA29)</f>
        <v>2.2883018799999999E-3</v>
      </c>
      <c r="AB31" s="22">
        <f t="shared" ref="AB31:AJ31" ca="1" si="17">SUMPRODUCT($Y7:$Y29,$Z7:$Z29,AB7:AB29)</f>
        <v>2.2911810799999999E-3</v>
      </c>
      <c r="AC31" s="22">
        <f t="shared" ca="1" si="17"/>
        <v>2.8639763500000002E-3</v>
      </c>
      <c r="AD31" s="22">
        <f t="shared" ca="1" si="17"/>
        <v>5.7326361999999998E-4</v>
      </c>
      <c r="AE31" s="22">
        <f t="shared" ca="1" si="17"/>
        <v>5.7326361999999998E-4</v>
      </c>
      <c r="AF31" s="22">
        <f t="shared" ca="1" si="17"/>
        <v>0</v>
      </c>
      <c r="AG31" s="22">
        <f t="shared" ca="1" si="17"/>
        <v>0</v>
      </c>
      <c r="AH31" s="22">
        <f t="shared" ca="1" si="17"/>
        <v>0</v>
      </c>
      <c r="AI31" s="22">
        <f t="shared" ca="1" si="17"/>
        <v>0</v>
      </c>
      <c r="AJ31" s="22">
        <f t="shared" ca="1" si="17"/>
        <v>0</v>
      </c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</row>
    <row r="32" spans="1:48" ht="15.75" x14ac:dyDescent="0.25">
      <c r="A32" s="2">
        <v>371</v>
      </c>
      <c r="B32" s="18">
        <v>4</v>
      </c>
      <c r="C32" s="18">
        <v>4</v>
      </c>
      <c r="D32" s="18">
        <v>5</v>
      </c>
      <c r="E32" s="18">
        <v>1</v>
      </c>
      <c r="F32" s="18">
        <v>1</v>
      </c>
      <c r="G32" s="45"/>
      <c r="H32" s="45"/>
      <c r="I32" s="45"/>
      <c r="J32" s="45"/>
      <c r="K32" s="45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 t="s">
        <v>34</v>
      </c>
      <c r="Y32" s="22"/>
      <c r="Z32" s="22"/>
      <c r="AA32" s="22">
        <f ca="1">$Y$30/AA31</f>
        <v>25.031455639935061</v>
      </c>
      <c r="AB32" s="22">
        <f t="shared" ref="AB32:AJ32" ca="1" si="18">$Y$30/AB31</f>
        <v>25</v>
      </c>
      <c r="AC32" s="22">
        <f t="shared" ca="1" si="18"/>
        <v>19.999999999999996</v>
      </c>
      <c r="AD32" s="22">
        <f t="shared" ca="1" si="18"/>
        <v>99.918301112496891</v>
      </c>
      <c r="AE32" s="22">
        <f t="shared" ca="1" si="18"/>
        <v>99.918301112496891</v>
      </c>
      <c r="AF32" s="22" t="e">
        <f t="shared" ca="1" si="18"/>
        <v>#DIV/0!</v>
      </c>
      <c r="AG32" s="22" t="e">
        <f t="shared" ca="1" si="18"/>
        <v>#DIV/0!</v>
      </c>
      <c r="AH32" s="22" t="e">
        <f t="shared" ca="1" si="18"/>
        <v>#DIV/0!</v>
      </c>
      <c r="AI32" s="22" t="e">
        <f t="shared" ca="1" si="18"/>
        <v>#DIV/0!</v>
      </c>
      <c r="AJ32" s="22" t="e">
        <f t="shared" ca="1" si="18"/>
        <v>#DIV/0!</v>
      </c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</row>
    <row r="33" spans="1:48" ht="15.75" x14ac:dyDescent="0.25">
      <c r="A33" s="2">
        <v>370</v>
      </c>
      <c r="B33" s="18">
        <v>4</v>
      </c>
      <c r="C33" s="18">
        <v>4</v>
      </c>
      <c r="D33" s="18">
        <v>5</v>
      </c>
      <c r="E33" s="18">
        <v>1</v>
      </c>
      <c r="F33" s="18">
        <v>1</v>
      </c>
      <c r="G33" s="45"/>
      <c r="H33" s="45"/>
      <c r="I33" s="45"/>
      <c r="J33" s="45"/>
      <c r="K33" s="45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</row>
    <row r="34" spans="1:48" ht="15.75" x14ac:dyDescent="0.25">
      <c r="A34" s="2">
        <v>369</v>
      </c>
      <c r="B34" s="18">
        <v>4</v>
      </c>
      <c r="C34" s="18">
        <v>4</v>
      </c>
      <c r="D34" s="18">
        <v>5</v>
      </c>
      <c r="E34" s="18">
        <v>1</v>
      </c>
      <c r="F34" s="18">
        <v>1</v>
      </c>
      <c r="G34" s="45"/>
      <c r="H34" s="45"/>
      <c r="I34" s="45"/>
      <c r="J34" s="45"/>
      <c r="K34" s="45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</row>
    <row r="35" spans="1:48" ht="15.75" x14ac:dyDescent="0.25">
      <c r="A35" s="2">
        <v>368</v>
      </c>
      <c r="B35" s="18">
        <v>5</v>
      </c>
      <c r="C35" s="18">
        <v>5</v>
      </c>
      <c r="D35" s="18">
        <v>5</v>
      </c>
      <c r="E35" s="18">
        <v>1</v>
      </c>
      <c r="F35" s="18">
        <v>1</v>
      </c>
      <c r="G35" s="45"/>
      <c r="H35" s="45"/>
      <c r="I35" s="45"/>
      <c r="J35" s="45"/>
      <c r="K35" s="45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</row>
    <row r="36" spans="1:48" ht="15.75" x14ac:dyDescent="0.25">
      <c r="A36" s="2">
        <v>367</v>
      </c>
      <c r="B36" s="18">
        <v>4</v>
      </c>
      <c r="C36" s="18">
        <v>4</v>
      </c>
      <c r="D36" s="18">
        <v>5</v>
      </c>
      <c r="E36" s="18">
        <v>1</v>
      </c>
      <c r="F36" s="18">
        <v>1</v>
      </c>
      <c r="G36" s="45"/>
      <c r="H36" s="45"/>
      <c r="I36" s="45"/>
      <c r="J36" s="45"/>
      <c r="K36" s="45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</row>
    <row r="37" spans="1:48" ht="15.75" x14ac:dyDescent="0.25">
      <c r="A37" s="2">
        <v>366</v>
      </c>
      <c r="B37" s="18">
        <v>4</v>
      </c>
      <c r="C37" s="18">
        <v>4</v>
      </c>
      <c r="D37" s="18">
        <v>5</v>
      </c>
      <c r="E37" s="18">
        <v>1</v>
      </c>
      <c r="F37" s="18">
        <v>1</v>
      </c>
      <c r="G37" s="45"/>
      <c r="H37" s="45"/>
      <c r="I37" s="45"/>
      <c r="J37" s="45"/>
      <c r="K37" s="45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</row>
    <row r="38" spans="1:48" ht="15.75" x14ac:dyDescent="0.25">
      <c r="A38" s="2">
        <v>365</v>
      </c>
      <c r="B38" s="18">
        <v>4</v>
      </c>
      <c r="C38" s="18">
        <v>4</v>
      </c>
      <c r="D38" s="18">
        <v>5</v>
      </c>
      <c r="E38" s="18">
        <v>1</v>
      </c>
      <c r="F38" s="18">
        <v>1</v>
      </c>
      <c r="G38" s="45"/>
      <c r="H38" s="45"/>
      <c r="I38" s="45"/>
      <c r="J38" s="45"/>
      <c r="K38" s="45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</row>
    <row r="39" spans="1:48" ht="15.75" x14ac:dyDescent="0.25">
      <c r="A39" s="2">
        <v>364</v>
      </c>
      <c r="B39" s="18">
        <v>4</v>
      </c>
      <c r="C39" s="18">
        <v>4</v>
      </c>
      <c r="D39" s="18">
        <v>5</v>
      </c>
      <c r="E39" s="18">
        <v>1</v>
      </c>
      <c r="F39" s="18">
        <v>1</v>
      </c>
      <c r="G39" s="45"/>
      <c r="H39" s="45"/>
      <c r="I39" s="45"/>
      <c r="J39" s="45"/>
      <c r="K39" s="45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</row>
    <row r="40" spans="1:48" ht="15.75" x14ac:dyDescent="0.25">
      <c r="A40" s="2">
        <v>363</v>
      </c>
      <c r="B40" s="18">
        <v>4</v>
      </c>
      <c r="C40" s="18">
        <v>4</v>
      </c>
      <c r="D40" s="18">
        <v>5</v>
      </c>
      <c r="E40" s="18">
        <v>1</v>
      </c>
      <c r="F40" s="18">
        <v>1</v>
      </c>
      <c r="G40" s="45"/>
      <c r="H40" s="45"/>
      <c r="I40" s="45"/>
      <c r="J40" s="45"/>
      <c r="K40" s="45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</row>
    <row r="41" spans="1:48" ht="15.75" x14ac:dyDescent="0.25">
      <c r="A41" s="2">
        <v>362</v>
      </c>
      <c r="B41" s="18">
        <v>4</v>
      </c>
      <c r="C41" s="18">
        <v>4</v>
      </c>
      <c r="D41" s="18">
        <v>5</v>
      </c>
      <c r="E41" s="18">
        <v>1</v>
      </c>
      <c r="F41" s="18">
        <v>1</v>
      </c>
      <c r="G41" s="45"/>
      <c r="H41" s="45"/>
      <c r="I41" s="45"/>
      <c r="J41" s="45"/>
      <c r="K41" s="45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</row>
    <row r="42" spans="1:48" ht="15.75" x14ac:dyDescent="0.25">
      <c r="A42" s="2">
        <v>361</v>
      </c>
      <c r="B42" s="18">
        <v>4</v>
      </c>
      <c r="C42" s="18">
        <v>4</v>
      </c>
      <c r="D42" s="18">
        <v>5</v>
      </c>
      <c r="E42" s="18">
        <v>1</v>
      </c>
      <c r="F42" s="18">
        <v>1</v>
      </c>
      <c r="G42" s="45"/>
      <c r="H42" s="45"/>
      <c r="I42" s="45"/>
      <c r="J42" s="45"/>
      <c r="K42" s="45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</row>
    <row r="43" spans="1:48" ht="15.75" x14ac:dyDescent="0.25">
      <c r="A43" s="2">
        <v>360</v>
      </c>
      <c r="B43" s="18">
        <v>4</v>
      </c>
      <c r="C43" s="18">
        <v>4</v>
      </c>
      <c r="D43" s="18">
        <v>5</v>
      </c>
      <c r="E43" s="18">
        <v>1</v>
      </c>
      <c r="F43" s="18">
        <v>1</v>
      </c>
      <c r="G43" s="45"/>
      <c r="H43" s="45"/>
      <c r="I43" s="45"/>
      <c r="J43" s="45"/>
      <c r="K43" s="45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</row>
    <row r="44" spans="1:48" ht="15.75" x14ac:dyDescent="0.25">
      <c r="A44" s="2">
        <v>359</v>
      </c>
      <c r="B44" s="18">
        <v>4</v>
      </c>
      <c r="C44" s="18">
        <v>4</v>
      </c>
      <c r="D44" s="18">
        <v>5</v>
      </c>
      <c r="E44" s="18">
        <v>1</v>
      </c>
      <c r="F44" s="18">
        <v>1</v>
      </c>
      <c r="G44" s="45"/>
      <c r="H44" s="45"/>
      <c r="I44" s="45"/>
      <c r="J44" s="45"/>
      <c r="K44" s="45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</row>
    <row r="45" spans="1:48" ht="15.75" x14ac:dyDescent="0.25">
      <c r="A45" s="2">
        <v>358</v>
      </c>
      <c r="B45" s="18">
        <v>4</v>
      </c>
      <c r="C45" s="18">
        <v>4</v>
      </c>
      <c r="D45" s="18">
        <v>5</v>
      </c>
      <c r="E45" s="18">
        <v>1</v>
      </c>
      <c r="F45" s="18">
        <v>1</v>
      </c>
      <c r="G45" s="45"/>
      <c r="H45" s="45"/>
      <c r="I45" s="45"/>
      <c r="J45" s="45"/>
      <c r="K45" s="45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</row>
    <row r="46" spans="1:48" ht="15.75" x14ac:dyDescent="0.25">
      <c r="A46" s="2">
        <v>357</v>
      </c>
      <c r="B46" s="18">
        <v>4</v>
      </c>
      <c r="C46" s="18">
        <v>4</v>
      </c>
      <c r="D46" s="18">
        <v>5</v>
      </c>
      <c r="E46" s="18">
        <v>1</v>
      </c>
      <c r="F46" s="18">
        <v>1</v>
      </c>
      <c r="G46" s="45"/>
      <c r="H46" s="45"/>
      <c r="I46" s="45"/>
      <c r="J46" s="45"/>
      <c r="K46" s="45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</row>
    <row r="47" spans="1:48" ht="15.75" x14ac:dyDescent="0.25">
      <c r="A47" s="2">
        <v>356</v>
      </c>
      <c r="B47" s="18">
        <v>4</v>
      </c>
      <c r="C47" s="18">
        <v>4</v>
      </c>
      <c r="D47" s="18">
        <v>5</v>
      </c>
      <c r="E47" s="18">
        <v>1</v>
      </c>
      <c r="F47" s="18">
        <v>1</v>
      </c>
      <c r="G47" s="45"/>
      <c r="H47" s="45"/>
      <c r="I47" s="45"/>
      <c r="J47" s="45"/>
      <c r="K47" s="45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</row>
    <row r="48" spans="1:48" ht="15.75" x14ac:dyDescent="0.25">
      <c r="A48" s="2">
        <v>355</v>
      </c>
      <c r="B48" s="18">
        <v>4</v>
      </c>
      <c r="C48" s="18">
        <v>4</v>
      </c>
      <c r="D48" s="18">
        <v>5</v>
      </c>
      <c r="E48" s="18">
        <v>1</v>
      </c>
      <c r="F48" s="18">
        <v>1</v>
      </c>
      <c r="G48" s="45"/>
      <c r="H48" s="45"/>
      <c r="I48" s="45"/>
      <c r="J48" s="45"/>
      <c r="K48" s="45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</row>
    <row r="49" spans="1:48" ht="15.75" x14ac:dyDescent="0.25">
      <c r="A49" s="2">
        <v>354</v>
      </c>
      <c r="B49" s="18">
        <v>4</v>
      </c>
      <c r="C49" s="18">
        <v>4</v>
      </c>
      <c r="D49" s="18">
        <v>5</v>
      </c>
      <c r="E49" s="18">
        <v>1</v>
      </c>
      <c r="F49" s="18">
        <v>1</v>
      </c>
      <c r="G49" s="45"/>
      <c r="H49" s="45"/>
      <c r="I49" s="45"/>
      <c r="J49" s="45"/>
      <c r="K49" s="45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</row>
    <row r="50" spans="1:48" ht="15.75" x14ac:dyDescent="0.25">
      <c r="A50" s="2">
        <v>353</v>
      </c>
      <c r="B50" s="18">
        <v>4</v>
      </c>
      <c r="C50" s="18">
        <v>4</v>
      </c>
      <c r="D50" s="18">
        <v>5</v>
      </c>
      <c r="E50" s="18">
        <v>1</v>
      </c>
      <c r="F50" s="18">
        <v>1</v>
      </c>
      <c r="G50" s="45"/>
      <c r="H50" s="45"/>
      <c r="I50" s="45"/>
      <c r="J50" s="45"/>
      <c r="K50" s="45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</row>
    <row r="51" spans="1:48" ht="15.75" x14ac:dyDescent="0.25">
      <c r="A51" s="2">
        <v>352</v>
      </c>
      <c r="B51" s="18">
        <v>4</v>
      </c>
      <c r="C51" s="18">
        <v>4</v>
      </c>
      <c r="D51" s="18">
        <v>5</v>
      </c>
      <c r="E51" s="18">
        <v>1</v>
      </c>
      <c r="F51" s="18">
        <v>1</v>
      </c>
      <c r="G51" s="45"/>
      <c r="H51" s="45"/>
      <c r="I51" s="45"/>
      <c r="J51" s="45"/>
      <c r="K51" s="45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</row>
    <row r="52" spans="1:48" ht="15.75" x14ac:dyDescent="0.25">
      <c r="A52" s="2">
        <v>351</v>
      </c>
      <c r="B52" s="18">
        <v>4</v>
      </c>
      <c r="C52" s="18">
        <v>4</v>
      </c>
      <c r="D52" s="18">
        <v>5</v>
      </c>
      <c r="E52" s="18">
        <v>1</v>
      </c>
      <c r="F52" s="18">
        <v>1</v>
      </c>
      <c r="G52" s="45"/>
      <c r="H52" s="45"/>
      <c r="I52" s="45"/>
      <c r="J52" s="45"/>
      <c r="K52" s="45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</row>
    <row r="53" spans="1:48" ht="15.75" x14ac:dyDescent="0.25">
      <c r="A53" s="2">
        <v>350</v>
      </c>
      <c r="B53" s="18">
        <v>4</v>
      </c>
      <c r="C53" s="18">
        <v>4</v>
      </c>
      <c r="D53" s="18">
        <v>5</v>
      </c>
      <c r="E53" s="18">
        <v>-3</v>
      </c>
      <c r="F53" s="18">
        <v>-3</v>
      </c>
      <c r="G53" s="45"/>
      <c r="H53" s="45"/>
      <c r="I53" s="45"/>
      <c r="J53" s="45"/>
      <c r="K53" s="45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</row>
    <row r="54" spans="1:48" ht="15.75" x14ac:dyDescent="0.25">
      <c r="A54" s="2">
        <v>349</v>
      </c>
      <c r="B54" s="18">
        <v>4</v>
      </c>
      <c r="C54" s="18">
        <v>4</v>
      </c>
      <c r="D54" s="18">
        <v>5</v>
      </c>
      <c r="E54" s="18">
        <v>1</v>
      </c>
      <c r="F54" s="18">
        <v>1</v>
      </c>
      <c r="G54" s="45"/>
      <c r="H54" s="45"/>
      <c r="I54" s="45"/>
      <c r="J54" s="45"/>
      <c r="K54" s="45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</row>
    <row r="55" spans="1:48" ht="15.75" x14ac:dyDescent="0.25">
      <c r="A55" s="2">
        <v>348</v>
      </c>
      <c r="B55" s="18">
        <v>4</v>
      </c>
      <c r="C55" s="18">
        <v>4</v>
      </c>
      <c r="D55" s="18">
        <v>5</v>
      </c>
      <c r="E55" s="18">
        <v>1</v>
      </c>
      <c r="F55" s="18">
        <v>1</v>
      </c>
      <c r="G55" s="45"/>
      <c r="H55" s="45"/>
      <c r="I55" s="45"/>
      <c r="J55" s="45"/>
      <c r="K55" s="45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</row>
    <row r="56" spans="1:48" ht="15.75" x14ac:dyDescent="0.25">
      <c r="A56" s="2">
        <v>347</v>
      </c>
      <c r="B56" s="18">
        <v>4</v>
      </c>
      <c r="C56" s="18">
        <v>4</v>
      </c>
      <c r="D56" s="18">
        <v>5</v>
      </c>
      <c r="E56" s="18">
        <v>1</v>
      </c>
      <c r="F56" s="18">
        <v>1</v>
      </c>
      <c r="G56" s="45"/>
      <c r="H56" s="45"/>
      <c r="I56" s="45"/>
      <c r="J56" s="45"/>
      <c r="K56" s="45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</row>
    <row r="57" spans="1:48" ht="15.75" x14ac:dyDescent="0.25">
      <c r="A57" s="2">
        <v>346</v>
      </c>
      <c r="B57" s="18">
        <v>4</v>
      </c>
      <c r="C57" s="18">
        <v>4</v>
      </c>
      <c r="D57" s="18">
        <v>5</v>
      </c>
      <c r="E57" s="18">
        <v>1</v>
      </c>
      <c r="F57" s="18">
        <v>1</v>
      </c>
      <c r="G57" s="45"/>
      <c r="H57" s="45"/>
      <c r="I57" s="45"/>
      <c r="J57" s="45"/>
      <c r="K57" s="45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</row>
    <row r="58" spans="1:48" ht="15.75" x14ac:dyDescent="0.25">
      <c r="A58" s="2">
        <v>345</v>
      </c>
      <c r="B58" s="18">
        <v>4</v>
      </c>
      <c r="C58" s="18">
        <v>4</v>
      </c>
      <c r="D58" s="18">
        <v>5</v>
      </c>
      <c r="E58" s="18">
        <v>1</v>
      </c>
      <c r="F58" s="18">
        <v>1</v>
      </c>
      <c r="G58" s="45"/>
      <c r="H58" s="45"/>
      <c r="I58" s="45"/>
      <c r="J58" s="45"/>
      <c r="K58" s="45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</row>
    <row r="59" spans="1:48" ht="15.75" x14ac:dyDescent="0.25">
      <c r="A59" s="2">
        <v>344</v>
      </c>
      <c r="B59" s="18">
        <v>4</v>
      </c>
      <c r="C59" s="18">
        <v>4</v>
      </c>
      <c r="D59" s="18">
        <v>5</v>
      </c>
      <c r="E59" s="18">
        <v>1</v>
      </c>
      <c r="F59" s="18">
        <v>1</v>
      </c>
      <c r="G59" s="45"/>
      <c r="H59" s="45"/>
      <c r="I59" s="45"/>
      <c r="J59" s="45"/>
      <c r="K59" s="45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</row>
    <row r="60" spans="1:48" ht="15.75" x14ac:dyDescent="0.25">
      <c r="A60" s="2">
        <v>343</v>
      </c>
      <c r="B60" s="18">
        <v>4</v>
      </c>
      <c r="C60" s="18">
        <v>4</v>
      </c>
      <c r="D60" s="18">
        <v>5</v>
      </c>
      <c r="E60" s="18">
        <v>1</v>
      </c>
      <c r="F60" s="18">
        <v>1</v>
      </c>
      <c r="G60" s="45"/>
      <c r="H60" s="45"/>
      <c r="I60" s="45"/>
      <c r="J60" s="45"/>
      <c r="K60" s="45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</row>
    <row r="61" spans="1:48" ht="15.75" x14ac:dyDescent="0.25">
      <c r="A61" s="2">
        <v>342</v>
      </c>
      <c r="B61" s="18">
        <v>4</v>
      </c>
      <c r="C61" s="18">
        <v>4</v>
      </c>
      <c r="D61" s="18">
        <v>5</v>
      </c>
      <c r="E61" s="18">
        <v>1</v>
      </c>
      <c r="F61" s="18">
        <v>1</v>
      </c>
      <c r="G61" s="45"/>
      <c r="H61" s="45"/>
      <c r="I61" s="45"/>
      <c r="J61" s="45"/>
      <c r="K61" s="45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</row>
    <row r="62" spans="1:48" ht="15.75" x14ac:dyDescent="0.25">
      <c r="A62" s="2">
        <v>341</v>
      </c>
      <c r="B62" s="18">
        <v>4</v>
      </c>
      <c r="C62" s="18">
        <v>4</v>
      </c>
      <c r="D62" s="18">
        <v>5</v>
      </c>
      <c r="E62" s="18">
        <v>1</v>
      </c>
      <c r="F62" s="18">
        <v>1</v>
      </c>
      <c r="G62" s="45"/>
      <c r="H62" s="45"/>
      <c r="I62" s="45"/>
      <c r="J62" s="45"/>
      <c r="K62" s="45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</row>
    <row r="63" spans="1:48" ht="15.75" x14ac:dyDescent="0.25">
      <c r="A63" s="2">
        <v>340</v>
      </c>
      <c r="B63" s="18">
        <v>4</v>
      </c>
      <c r="C63" s="18">
        <v>4</v>
      </c>
      <c r="D63" s="18">
        <v>5</v>
      </c>
      <c r="E63" s="18">
        <v>1</v>
      </c>
      <c r="F63" s="18">
        <v>1</v>
      </c>
      <c r="G63" s="45"/>
      <c r="H63" s="45"/>
      <c r="I63" s="45"/>
      <c r="J63" s="45"/>
      <c r="K63" s="45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</row>
    <row r="64" spans="1:48" ht="15.75" x14ac:dyDescent="0.25">
      <c r="A64" s="2">
        <v>339</v>
      </c>
      <c r="B64" s="18">
        <v>4</v>
      </c>
      <c r="C64" s="18">
        <v>4</v>
      </c>
      <c r="D64" s="18">
        <v>5</v>
      </c>
      <c r="E64" s="18">
        <v>1</v>
      </c>
      <c r="F64" s="18">
        <v>1</v>
      </c>
      <c r="G64" s="45"/>
      <c r="H64" s="45"/>
      <c r="I64" s="45"/>
      <c r="J64" s="45"/>
      <c r="K64" s="45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</row>
    <row r="65" spans="1:48" ht="15.75" x14ac:dyDescent="0.25">
      <c r="A65" s="2">
        <v>338</v>
      </c>
      <c r="B65" s="18">
        <v>4</v>
      </c>
      <c r="C65" s="18">
        <v>4</v>
      </c>
      <c r="D65" s="18">
        <v>5</v>
      </c>
      <c r="E65" s="18">
        <v>1</v>
      </c>
      <c r="F65" s="18">
        <v>1</v>
      </c>
      <c r="G65" s="45"/>
      <c r="H65" s="45"/>
      <c r="I65" s="45"/>
      <c r="J65" s="45"/>
      <c r="K65" s="45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</row>
    <row r="66" spans="1:48" ht="15.75" x14ac:dyDescent="0.25">
      <c r="A66" s="2">
        <v>337</v>
      </c>
      <c r="B66" s="18">
        <v>4</v>
      </c>
      <c r="C66" s="18">
        <v>4</v>
      </c>
      <c r="D66" s="18">
        <v>5</v>
      </c>
      <c r="E66" s="18">
        <v>1</v>
      </c>
      <c r="F66" s="18">
        <v>1</v>
      </c>
      <c r="G66" s="45"/>
      <c r="H66" s="45"/>
      <c r="I66" s="45"/>
      <c r="J66" s="45"/>
      <c r="K66" s="45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</row>
    <row r="67" spans="1:48" ht="15.75" x14ac:dyDescent="0.25">
      <c r="A67" s="2">
        <v>336</v>
      </c>
      <c r="B67" s="18">
        <v>4</v>
      </c>
      <c r="C67" s="18">
        <v>4</v>
      </c>
      <c r="D67" s="18">
        <v>5</v>
      </c>
      <c r="E67" s="18">
        <v>1</v>
      </c>
      <c r="F67" s="18">
        <v>1</v>
      </c>
      <c r="G67" s="45"/>
      <c r="H67" s="45"/>
      <c r="I67" s="45"/>
      <c r="J67" s="45"/>
      <c r="K67" s="45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</row>
    <row r="68" spans="1:48" ht="15.75" x14ac:dyDescent="0.25">
      <c r="A68" s="2">
        <v>335</v>
      </c>
      <c r="B68" s="18">
        <v>4</v>
      </c>
      <c r="C68" s="18">
        <v>4</v>
      </c>
      <c r="D68" s="18">
        <v>5</v>
      </c>
      <c r="E68" s="18">
        <v>1</v>
      </c>
      <c r="F68" s="18">
        <v>1</v>
      </c>
      <c r="G68" s="45"/>
      <c r="H68" s="45"/>
      <c r="I68" s="45"/>
      <c r="J68" s="45"/>
      <c r="K68" s="45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</row>
    <row r="69" spans="1:48" ht="15.75" x14ac:dyDescent="0.25">
      <c r="A69" s="2">
        <v>334</v>
      </c>
      <c r="B69" s="18">
        <v>4</v>
      </c>
      <c r="C69" s="18">
        <v>4</v>
      </c>
      <c r="D69" s="18">
        <v>5</v>
      </c>
      <c r="E69" s="18">
        <v>1</v>
      </c>
      <c r="F69" s="18">
        <v>1</v>
      </c>
      <c r="G69" s="45"/>
      <c r="H69" s="45"/>
      <c r="I69" s="45"/>
      <c r="J69" s="45"/>
      <c r="K69" s="45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</row>
    <row r="70" spans="1:48" ht="15.75" x14ac:dyDescent="0.25">
      <c r="A70" s="2">
        <v>333</v>
      </c>
      <c r="B70" s="18">
        <v>4</v>
      </c>
      <c r="C70" s="18">
        <v>4</v>
      </c>
      <c r="D70" s="18">
        <v>5</v>
      </c>
      <c r="E70" s="18">
        <v>1</v>
      </c>
      <c r="F70" s="18">
        <v>1</v>
      </c>
      <c r="G70" s="45"/>
      <c r="H70" s="45"/>
      <c r="I70" s="45"/>
      <c r="J70" s="45"/>
      <c r="K70" s="45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</row>
    <row r="71" spans="1:48" ht="15.75" x14ac:dyDescent="0.25">
      <c r="A71" s="2">
        <v>332</v>
      </c>
      <c r="B71" s="18">
        <v>4</v>
      </c>
      <c r="C71" s="18">
        <v>4</v>
      </c>
      <c r="D71" s="18">
        <v>5</v>
      </c>
      <c r="E71" s="18">
        <v>1</v>
      </c>
      <c r="F71" s="18">
        <v>1</v>
      </c>
      <c r="G71" s="45"/>
      <c r="H71" s="45"/>
      <c r="I71" s="45"/>
      <c r="J71" s="45"/>
      <c r="K71" s="45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</row>
    <row r="72" spans="1:48" ht="15.75" x14ac:dyDescent="0.25">
      <c r="A72" s="2">
        <v>331</v>
      </c>
      <c r="B72" s="18">
        <v>4</v>
      </c>
      <c r="C72" s="18">
        <v>4</v>
      </c>
      <c r="D72" s="18">
        <v>5</v>
      </c>
      <c r="E72" s="18">
        <v>1</v>
      </c>
      <c r="F72" s="18">
        <v>1</v>
      </c>
      <c r="G72" s="45"/>
      <c r="H72" s="45"/>
      <c r="I72" s="45"/>
      <c r="J72" s="45"/>
      <c r="K72" s="45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</row>
    <row r="73" spans="1:48" ht="15.75" x14ac:dyDescent="0.25">
      <c r="A73" s="2">
        <v>330</v>
      </c>
      <c r="B73" s="18">
        <v>4</v>
      </c>
      <c r="C73" s="18">
        <v>4</v>
      </c>
      <c r="D73" s="18">
        <v>5</v>
      </c>
      <c r="E73" s="18">
        <v>1</v>
      </c>
      <c r="F73" s="18">
        <v>1</v>
      </c>
      <c r="G73" s="45"/>
      <c r="H73" s="45"/>
      <c r="I73" s="45"/>
      <c r="J73" s="45"/>
      <c r="K73" s="45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</row>
    <row r="74" spans="1:48" ht="15.75" x14ac:dyDescent="0.25">
      <c r="A74" s="2">
        <v>329</v>
      </c>
      <c r="B74" s="18">
        <v>4</v>
      </c>
      <c r="C74" s="18">
        <v>4</v>
      </c>
      <c r="D74" s="18">
        <v>5</v>
      </c>
      <c r="E74" s="18">
        <v>1</v>
      </c>
      <c r="F74" s="18">
        <v>1</v>
      </c>
      <c r="G74" s="45"/>
      <c r="H74" s="45"/>
      <c r="I74" s="45"/>
      <c r="J74" s="45"/>
      <c r="K74" s="45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</row>
    <row r="75" spans="1:48" ht="15.75" x14ac:dyDescent="0.25">
      <c r="A75" s="2">
        <v>328</v>
      </c>
      <c r="B75" s="18">
        <v>4</v>
      </c>
      <c r="C75" s="18">
        <v>4</v>
      </c>
      <c r="D75" s="18">
        <v>5</v>
      </c>
      <c r="E75" s="18">
        <v>1</v>
      </c>
      <c r="F75" s="18">
        <v>1</v>
      </c>
      <c r="G75" s="45"/>
      <c r="H75" s="45"/>
      <c r="I75" s="45"/>
      <c r="J75" s="45"/>
      <c r="K75" s="45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</row>
    <row r="76" spans="1:48" ht="15.75" x14ac:dyDescent="0.25">
      <c r="A76" s="2">
        <v>327</v>
      </c>
      <c r="B76" s="18">
        <v>4</v>
      </c>
      <c r="C76" s="18">
        <v>4</v>
      </c>
      <c r="D76" s="18">
        <v>5</v>
      </c>
      <c r="E76" s="18">
        <v>1</v>
      </c>
      <c r="F76" s="18">
        <v>1</v>
      </c>
      <c r="G76" s="45"/>
      <c r="H76" s="45"/>
      <c r="I76" s="45"/>
      <c r="J76" s="45"/>
      <c r="K76" s="45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</row>
    <row r="77" spans="1:48" ht="15.75" x14ac:dyDescent="0.25">
      <c r="A77" s="2">
        <v>326</v>
      </c>
      <c r="B77" s="18">
        <v>4</v>
      </c>
      <c r="C77" s="18">
        <v>4</v>
      </c>
      <c r="D77" s="18">
        <v>5</v>
      </c>
      <c r="E77" s="18">
        <v>1</v>
      </c>
      <c r="F77" s="18">
        <v>1</v>
      </c>
      <c r="G77" s="45"/>
      <c r="H77" s="45"/>
      <c r="I77" s="45"/>
      <c r="J77" s="45"/>
      <c r="K77" s="45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</row>
    <row r="78" spans="1:48" ht="15.75" x14ac:dyDescent="0.25">
      <c r="A78" s="2">
        <v>325</v>
      </c>
      <c r="B78" s="18">
        <v>4</v>
      </c>
      <c r="C78" s="18">
        <v>4</v>
      </c>
      <c r="D78" s="18">
        <v>5</v>
      </c>
      <c r="E78" s="18">
        <v>1</v>
      </c>
      <c r="F78" s="18">
        <v>1</v>
      </c>
      <c r="G78" s="45"/>
      <c r="H78" s="45"/>
      <c r="I78" s="45"/>
      <c r="J78" s="45"/>
      <c r="K78" s="45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</row>
    <row r="79" spans="1:48" ht="15.75" x14ac:dyDescent="0.25">
      <c r="A79" s="2">
        <v>324</v>
      </c>
      <c r="B79" s="18">
        <v>4</v>
      </c>
      <c r="C79" s="18">
        <v>4</v>
      </c>
      <c r="D79" s="18">
        <v>5</v>
      </c>
      <c r="E79" s="18">
        <v>1</v>
      </c>
      <c r="F79" s="18">
        <v>1</v>
      </c>
      <c r="G79" s="45"/>
      <c r="H79" s="45"/>
      <c r="I79" s="45"/>
      <c r="J79" s="45"/>
      <c r="K79" s="45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</row>
    <row r="80" spans="1:48" ht="15.75" x14ac:dyDescent="0.25">
      <c r="A80" s="2">
        <v>323</v>
      </c>
      <c r="B80" s="18">
        <v>4</v>
      </c>
      <c r="C80" s="18">
        <v>4</v>
      </c>
      <c r="D80" s="18">
        <v>5</v>
      </c>
      <c r="E80" s="18">
        <v>1</v>
      </c>
      <c r="F80" s="18">
        <v>1</v>
      </c>
      <c r="G80" s="45"/>
      <c r="H80" s="45"/>
      <c r="I80" s="45"/>
      <c r="J80" s="45"/>
      <c r="K80" s="45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</row>
    <row r="81" spans="1:48" ht="15.75" x14ac:dyDescent="0.25">
      <c r="A81" s="2">
        <v>322</v>
      </c>
      <c r="B81" s="18">
        <v>4</v>
      </c>
      <c r="C81" s="18">
        <v>4</v>
      </c>
      <c r="D81" s="18">
        <v>5</v>
      </c>
      <c r="E81" s="18">
        <v>1</v>
      </c>
      <c r="F81" s="18">
        <v>1</v>
      </c>
      <c r="G81" s="45"/>
      <c r="H81" s="45"/>
      <c r="I81" s="45"/>
      <c r="J81" s="45"/>
      <c r="K81" s="45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</row>
    <row r="82" spans="1:48" ht="15.75" x14ac:dyDescent="0.25">
      <c r="A82" s="2">
        <v>321</v>
      </c>
      <c r="B82" s="18">
        <v>4</v>
      </c>
      <c r="C82" s="18">
        <v>4</v>
      </c>
      <c r="D82" s="18">
        <v>5</v>
      </c>
      <c r="E82" s="18">
        <v>1</v>
      </c>
      <c r="F82" s="18">
        <v>1</v>
      </c>
      <c r="G82" s="45"/>
      <c r="H82" s="45"/>
      <c r="I82" s="45"/>
      <c r="J82" s="45"/>
      <c r="K82" s="45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</row>
    <row r="83" spans="1:48" ht="15.75" x14ac:dyDescent="0.25">
      <c r="A83" s="2">
        <v>320</v>
      </c>
      <c r="B83" s="18">
        <v>4</v>
      </c>
      <c r="C83" s="18">
        <v>4</v>
      </c>
      <c r="D83" s="18">
        <v>5</v>
      </c>
      <c r="E83" s="18">
        <v>1</v>
      </c>
      <c r="F83" s="18">
        <v>1</v>
      </c>
      <c r="G83" s="45"/>
      <c r="H83" s="45"/>
      <c r="I83" s="45"/>
      <c r="J83" s="45"/>
      <c r="K83" s="45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</row>
    <row r="84" spans="1:48" ht="15.75" x14ac:dyDescent="0.25">
      <c r="A84" s="2">
        <v>319</v>
      </c>
      <c r="B84" s="18">
        <v>4</v>
      </c>
      <c r="C84" s="18">
        <v>4</v>
      </c>
      <c r="D84" s="18">
        <v>5</v>
      </c>
      <c r="E84" s="18">
        <v>1</v>
      </c>
      <c r="F84" s="18">
        <v>1</v>
      </c>
      <c r="G84" s="45"/>
      <c r="H84" s="45"/>
      <c r="I84" s="45"/>
      <c r="J84" s="45"/>
      <c r="K84" s="45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</row>
    <row r="85" spans="1:48" ht="15.75" x14ac:dyDescent="0.25">
      <c r="A85" s="2">
        <v>318</v>
      </c>
      <c r="B85" s="18">
        <v>4</v>
      </c>
      <c r="C85" s="18">
        <v>4</v>
      </c>
      <c r="D85" s="18">
        <v>5</v>
      </c>
      <c r="E85" s="18">
        <v>1</v>
      </c>
      <c r="F85" s="18">
        <v>1</v>
      </c>
      <c r="G85" s="45"/>
      <c r="H85" s="45"/>
      <c r="I85" s="45"/>
      <c r="J85" s="45"/>
      <c r="K85" s="45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</row>
    <row r="86" spans="1:48" ht="15.75" x14ac:dyDescent="0.25">
      <c r="A86" s="2">
        <v>317</v>
      </c>
      <c r="B86" s="18">
        <v>4</v>
      </c>
      <c r="C86" s="18">
        <v>4</v>
      </c>
      <c r="D86" s="18">
        <v>5</v>
      </c>
      <c r="E86" s="18">
        <v>1</v>
      </c>
      <c r="F86" s="18">
        <v>1</v>
      </c>
      <c r="G86" s="45"/>
      <c r="H86" s="45"/>
      <c r="I86" s="45"/>
      <c r="J86" s="45"/>
      <c r="K86" s="45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</row>
    <row r="87" spans="1:48" ht="15.75" x14ac:dyDescent="0.25">
      <c r="A87" s="2">
        <v>316</v>
      </c>
      <c r="B87" s="18">
        <v>4</v>
      </c>
      <c r="C87" s="18">
        <v>4</v>
      </c>
      <c r="D87" s="18">
        <v>5</v>
      </c>
      <c r="E87" s="18">
        <v>1</v>
      </c>
      <c r="F87" s="18">
        <v>1</v>
      </c>
      <c r="G87" s="45"/>
      <c r="H87" s="45"/>
      <c r="I87" s="45"/>
      <c r="J87" s="45"/>
      <c r="K87" s="45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</row>
    <row r="88" spans="1:48" ht="15.75" x14ac:dyDescent="0.25">
      <c r="A88" s="2">
        <v>315</v>
      </c>
      <c r="B88" s="18">
        <v>4</v>
      </c>
      <c r="C88" s="18">
        <v>4</v>
      </c>
      <c r="D88" s="18">
        <v>5</v>
      </c>
      <c r="E88" s="18">
        <v>1</v>
      </c>
      <c r="F88" s="18">
        <v>1</v>
      </c>
      <c r="G88" s="45"/>
      <c r="H88" s="45"/>
      <c r="I88" s="45"/>
      <c r="J88" s="45"/>
      <c r="K88" s="45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</row>
    <row r="89" spans="1:48" ht="15.75" x14ac:dyDescent="0.25">
      <c r="A89" s="2">
        <v>314</v>
      </c>
      <c r="B89" s="18">
        <v>4</v>
      </c>
      <c r="C89" s="18">
        <v>4</v>
      </c>
      <c r="D89" s="18">
        <v>5</v>
      </c>
      <c r="E89" s="18">
        <v>1</v>
      </c>
      <c r="F89" s="18">
        <v>1</v>
      </c>
      <c r="G89" s="45"/>
      <c r="H89" s="45"/>
      <c r="I89" s="45"/>
      <c r="J89" s="45"/>
      <c r="K89" s="45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</row>
    <row r="90" spans="1:48" ht="15.75" x14ac:dyDescent="0.25">
      <c r="A90" s="2">
        <v>313</v>
      </c>
      <c r="B90" s="18">
        <v>4</v>
      </c>
      <c r="C90" s="18">
        <v>4</v>
      </c>
      <c r="D90" s="18">
        <v>5</v>
      </c>
      <c r="E90" s="18">
        <v>1</v>
      </c>
      <c r="F90" s="18">
        <v>1</v>
      </c>
      <c r="G90" s="45"/>
      <c r="H90" s="45"/>
      <c r="I90" s="45"/>
      <c r="J90" s="45"/>
      <c r="K90" s="45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</row>
    <row r="91" spans="1:48" ht="15.75" x14ac:dyDescent="0.25">
      <c r="A91" s="2">
        <v>312</v>
      </c>
      <c r="B91" s="18">
        <v>4</v>
      </c>
      <c r="C91" s="18">
        <v>4</v>
      </c>
      <c r="D91" s="18">
        <v>5</v>
      </c>
      <c r="E91" s="18">
        <v>1</v>
      </c>
      <c r="F91" s="18">
        <v>1</v>
      </c>
      <c r="G91" s="45"/>
      <c r="H91" s="45"/>
      <c r="I91" s="45"/>
      <c r="J91" s="45"/>
      <c r="K91" s="45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</row>
    <row r="92" spans="1:48" ht="15.75" x14ac:dyDescent="0.25">
      <c r="A92" s="2">
        <v>311</v>
      </c>
      <c r="B92" s="18">
        <v>4</v>
      </c>
      <c r="C92" s="18">
        <v>4</v>
      </c>
      <c r="D92" s="18">
        <v>5</v>
      </c>
      <c r="E92" s="18">
        <v>1</v>
      </c>
      <c r="F92" s="18">
        <v>1</v>
      </c>
      <c r="G92" s="45"/>
      <c r="H92" s="45"/>
      <c r="I92" s="45"/>
      <c r="J92" s="45"/>
      <c r="K92" s="45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</row>
    <row r="93" spans="1:48" ht="15.75" x14ac:dyDescent="0.25">
      <c r="A93" s="2">
        <v>310</v>
      </c>
      <c r="B93" s="18">
        <v>4</v>
      </c>
      <c r="C93" s="18">
        <v>4</v>
      </c>
      <c r="D93" s="18">
        <v>5</v>
      </c>
      <c r="E93" s="18">
        <v>1</v>
      </c>
      <c r="F93" s="18">
        <v>1</v>
      </c>
      <c r="G93" s="45"/>
      <c r="H93" s="45"/>
      <c r="I93" s="45"/>
      <c r="J93" s="45"/>
      <c r="K93" s="45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</row>
    <row r="94" spans="1:48" ht="15.75" x14ac:dyDescent="0.25">
      <c r="A94" s="2">
        <v>309</v>
      </c>
      <c r="B94" s="18">
        <v>4</v>
      </c>
      <c r="C94" s="18">
        <v>4</v>
      </c>
      <c r="D94" s="18">
        <v>5</v>
      </c>
      <c r="E94" s="18">
        <v>1</v>
      </c>
      <c r="F94" s="18">
        <v>1</v>
      </c>
      <c r="G94" s="45"/>
      <c r="H94" s="45"/>
      <c r="I94" s="45"/>
      <c r="J94" s="45"/>
      <c r="K94" s="45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</row>
    <row r="95" spans="1:48" ht="15.75" x14ac:dyDescent="0.25">
      <c r="A95" s="2">
        <v>308</v>
      </c>
      <c r="B95" s="18">
        <v>4</v>
      </c>
      <c r="C95" s="18">
        <v>4</v>
      </c>
      <c r="D95" s="18">
        <v>5</v>
      </c>
      <c r="E95" s="18">
        <v>1</v>
      </c>
      <c r="F95" s="18">
        <v>1</v>
      </c>
      <c r="G95" s="45"/>
      <c r="H95" s="45"/>
      <c r="I95" s="45"/>
      <c r="J95" s="45"/>
      <c r="K95" s="45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</row>
    <row r="96" spans="1:48" ht="15.75" x14ac:dyDescent="0.25">
      <c r="A96" s="2">
        <v>307</v>
      </c>
      <c r="B96" s="18">
        <v>4</v>
      </c>
      <c r="C96" s="18">
        <v>4</v>
      </c>
      <c r="D96" s="18">
        <v>5</v>
      </c>
      <c r="E96" s="18">
        <v>1</v>
      </c>
      <c r="F96" s="18">
        <v>1</v>
      </c>
      <c r="G96" s="45"/>
      <c r="H96" s="45"/>
      <c r="I96" s="45"/>
      <c r="J96" s="45"/>
      <c r="K96" s="45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</row>
    <row r="97" spans="1:48" ht="15.75" x14ac:dyDescent="0.25">
      <c r="A97" s="2">
        <v>306</v>
      </c>
      <c r="B97" s="18">
        <v>4</v>
      </c>
      <c r="C97" s="18">
        <v>4</v>
      </c>
      <c r="D97" s="18">
        <v>5</v>
      </c>
      <c r="E97" s="18">
        <v>1</v>
      </c>
      <c r="F97" s="18">
        <v>1</v>
      </c>
      <c r="G97" s="45"/>
      <c r="H97" s="45"/>
      <c r="I97" s="45"/>
      <c r="J97" s="45"/>
      <c r="K97" s="45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</row>
    <row r="98" spans="1:48" ht="15.75" x14ac:dyDescent="0.25">
      <c r="A98" s="2">
        <v>305</v>
      </c>
      <c r="B98" s="18">
        <v>4</v>
      </c>
      <c r="C98" s="18">
        <v>4</v>
      </c>
      <c r="D98" s="18">
        <v>5</v>
      </c>
      <c r="E98" s="18">
        <v>1</v>
      </c>
      <c r="F98" s="18">
        <v>1</v>
      </c>
      <c r="G98" s="45"/>
      <c r="H98" s="45"/>
      <c r="I98" s="45"/>
      <c r="J98" s="45"/>
      <c r="K98" s="45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</row>
    <row r="99" spans="1:48" ht="15.75" x14ac:dyDescent="0.25">
      <c r="A99" s="2">
        <v>304</v>
      </c>
      <c r="B99" s="18">
        <v>4</v>
      </c>
      <c r="C99" s="18">
        <v>4</v>
      </c>
      <c r="D99" s="18">
        <v>5</v>
      </c>
      <c r="E99" s="18">
        <v>1</v>
      </c>
      <c r="F99" s="18">
        <v>1</v>
      </c>
      <c r="G99" s="45"/>
      <c r="H99" s="45"/>
      <c r="I99" s="45"/>
      <c r="J99" s="45"/>
      <c r="K99" s="45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</row>
    <row r="100" spans="1:48" ht="15.75" x14ac:dyDescent="0.25">
      <c r="A100" s="2">
        <v>303</v>
      </c>
      <c r="B100" s="18">
        <v>4</v>
      </c>
      <c r="C100" s="18">
        <v>4</v>
      </c>
      <c r="D100" s="18">
        <v>5</v>
      </c>
      <c r="E100" s="18">
        <v>1</v>
      </c>
      <c r="F100" s="18">
        <v>1</v>
      </c>
      <c r="G100" s="45"/>
      <c r="H100" s="45"/>
      <c r="I100" s="45"/>
      <c r="J100" s="45"/>
      <c r="K100" s="45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</row>
    <row r="101" spans="1:48" ht="15.75" x14ac:dyDescent="0.25">
      <c r="A101" s="2">
        <v>302</v>
      </c>
      <c r="B101" s="18">
        <v>4</v>
      </c>
      <c r="C101" s="18">
        <v>4</v>
      </c>
      <c r="D101" s="18">
        <v>5</v>
      </c>
      <c r="E101" s="18">
        <v>1</v>
      </c>
      <c r="F101" s="18">
        <v>1</v>
      </c>
      <c r="G101" s="45"/>
      <c r="H101" s="45"/>
      <c r="I101" s="45"/>
      <c r="J101" s="45"/>
      <c r="K101" s="45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</row>
    <row r="102" spans="1:48" ht="15.75" x14ac:dyDescent="0.25">
      <c r="A102" s="2">
        <v>301</v>
      </c>
      <c r="B102" s="18">
        <v>4</v>
      </c>
      <c r="C102" s="18">
        <v>4</v>
      </c>
      <c r="D102" s="18">
        <v>5</v>
      </c>
      <c r="E102" s="18">
        <v>1</v>
      </c>
      <c r="F102" s="18">
        <v>1</v>
      </c>
      <c r="G102" s="45"/>
      <c r="H102" s="45"/>
      <c r="I102" s="45"/>
      <c r="J102" s="45"/>
      <c r="K102" s="45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</row>
    <row r="103" spans="1:48" ht="15.75" x14ac:dyDescent="0.25">
      <c r="A103" s="2">
        <v>300</v>
      </c>
      <c r="B103" s="18">
        <v>4</v>
      </c>
      <c r="C103" s="18">
        <v>4</v>
      </c>
      <c r="D103" s="18">
        <v>5</v>
      </c>
      <c r="E103" s="18">
        <v>1</v>
      </c>
      <c r="F103" s="18">
        <v>1</v>
      </c>
      <c r="G103" s="45"/>
      <c r="H103" s="45"/>
      <c r="I103" s="45"/>
      <c r="J103" s="45"/>
      <c r="K103" s="45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</row>
    <row r="104" spans="1:48" ht="15.75" x14ac:dyDescent="0.25">
      <c r="A104" s="2">
        <v>299</v>
      </c>
      <c r="B104" s="18">
        <v>4</v>
      </c>
      <c r="C104" s="18">
        <v>4</v>
      </c>
      <c r="D104" s="18">
        <v>5</v>
      </c>
      <c r="E104" s="18">
        <v>1</v>
      </c>
      <c r="F104" s="18">
        <v>1</v>
      </c>
      <c r="G104" s="45"/>
      <c r="H104" s="45"/>
      <c r="I104" s="45"/>
      <c r="J104" s="45"/>
      <c r="K104" s="45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</row>
    <row r="105" spans="1:48" ht="15.75" x14ac:dyDescent="0.25">
      <c r="A105" s="2">
        <v>298</v>
      </c>
      <c r="B105" s="18">
        <v>4</v>
      </c>
      <c r="C105" s="18">
        <v>4</v>
      </c>
      <c r="D105" s="18">
        <v>5</v>
      </c>
      <c r="E105" s="18">
        <v>1</v>
      </c>
      <c r="F105" s="18">
        <v>1</v>
      </c>
      <c r="G105" s="45"/>
      <c r="H105" s="45"/>
      <c r="I105" s="45"/>
      <c r="J105" s="45"/>
      <c r="K105" s="45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</row>
    <row r="106" spans="1:48" ht="15.75" x14ac:dyDescent="0.25">
      <c r="A106" s="2">
        <v>297</v>
      </c>
      <c r="B106" s="18">
        <v>4</v>
      </c>
      <c r="C106" s="18">
        <v>4</v>
      </c>
      <c r="D106" s="18">
        <v>5</v>
      </c>
      <c r="E106" s="18">
        <v>1</v>
      </c>
      <c r="F106" s="18">
        <v>1</v>
      </c>
      <c r="G106" s="45"/>
      <c r="H106" s="45"/>
      <c r="I106" s="45"/>
      <c r="J106" s="45"/>
      <c r="K106" s="45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</row>
    <row r="107" spans="1:48" ht="15.75" x14ac:dyDescent="0.25">
      <c r="A107" s="2">
        <v>296</v>
      </c>
      <c r="B107" s="18">
        <v>4</v>
      </c>
      <c r="C107" s="18">
        <v>4</v>
      </c>
      <c r="D107" s="18">
        <v>5</v>
      </c>
      <c r="E107" s="18">
        <v>1</v>
      </c>
      <c r="F107" s="18">
        <v>1</v>
      </c>
      <c r="G107" s="45"/>
      <c r="H107" s="45"/>
      <c r="I107" s="45"/>
      <c r="J107" s="45"/>
      <c r="K107" s="45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</row>
    <row r="108" spans="1:48" ht="15.75" x14ac:dyDescent="0.25">
      <c r="A108" s="2">
        <v>295</v>
      </c>
      <c r="B108" s="18">
        <v>4</v>
      </c>
      <c r="C108" s="18">
        <v>4</v>
      </c>
      <c r="D108" s="18">
        <v>5</v>
      </c>
      <c r="E108" s="18">
        <v>1</v>
      </c>
      <c r="F108" s="18">
        <v>1</v>
      </c>
      <c r="G108" s="45"/>
      <c r="H108" s="45"/>
      <c r="I108" s="45"/>
      <c r="J108" s="45"/>
      <c r="K108" s="45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</row>
    <row r="109" spans="1:48" ht="15.75" x14ac:dyDescent="0.25">
      <c r="A109" s="2">
        <v>294</v>
      </c>
      <c r="B109" s="18">
        <v>4</v>
      </c>
      <c r="C109" s="18">
        <v>4</v>
      </c>
      <c r="D109" s="18">
        <v>5</v>
      </c>
      <c r="E109" s="18">
        <v>1</v>
      </c>
      <c r="F109" s="18">
        <v>1</v>
      </c>
      <c r="G109" s="45"/>
      <c r="H109" s="45"/>
      <c r="I109" s="45"/>
      <c r="J109" s="45"/>
      <c r="K109" s="45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</row>
    <row r="110" spans="1:48" ht="15.75" x14ac:dyDescent="0.25">
      <c r="A110" s="2">
        <v>293</v>
      </c>
      <c r="B110" s="18">
        <v>4</v>
      </c>
      <c r="C110" s="18">
        <v>4</v>
      </c>
      <c r="D110" s="18">
        <v>5</v>
      </c>
      <c r="E110" s="18">
        <v>1</v>
      </c>
      <c r="F110" s="18">
        <v>1</v>
      </c>
      <c r="G110" s="45"/>
      <c r="H110" s="45"/>
      <c r="I110" s="45"/>
      <c r="J110" s="45"/>
      <c r="K110" s="45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</row>
    <row r="111" spans="1:48" ht="15.75" x14ac:dyDescent="0.25">
      <c r="A111" s="2">
        <v>292</v>
      </c>
      <c r="B111" s="18">
        <v>4</v>
      </c>
      <c r="C111" s="18">
        <v>4</v>
      </c>
      <c r="D111" s="18">
        <v>5</v>
      </c>
      <c r="E111" s="18">
        <v>1</v>
      </c>
      <c r="F111" s="18">
        <v>1</v>
      </c>
      <c r="G111" s="45"/>
      <c r="H111" s="45"/>
      <c r="I111" s="45"/>
      <c r="J111" s="45"/>
      <c r="K111" s="45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</row>
    <row r="112" spans="1:48" ht="15.75" x14ac:dyDescent="0.25">
      <c r="A112" s="2">
        <v>291</v>
      </c>
      <c r="B112" s="18">
        <v>4</v>
      </c>
      <c r="C112" s="18">
        <v>4</v>
      </c>
      <c r="D112" s="18">
        <v>5</v>
      </c>
      <c r="E112" s="18">
        <v>1</v>
      </c>
      <c r="F112" s="18">
        <v>1</v>
      </c>
      <c r="G112" s="45"/>
      <c r="H112" s="45"/>
      <c r="I112" s="45"/>
      <c r="J112" s="45"/>
      <c r="K112" s="45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</row>
    <row r="113" spans="1:48" ht="15.75" x14ac:dyDescent="0.25">
      <c r="A113" s="2">
        <v>290</v>
      </c>
      <c r="B113" s="18">
        <v>4</v>
      </c>
      <c r="C113" s="18">
        <v>4</v>
      </c>
      <c r="D113" s="18">
        <v>5</v>
      </c>
      <c r="E113" s="18">
        <v>1</v>
      </c>
      <c r="F113" s="18">
        <v>1</v>
      </c>
      <c r="G113" s="45"/>
      <c r="H113" s="45"/>
      <c r="I113" s="45"/>
      <c r="J113" s="45"/>
      <c r="K113" s="45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</row>
  </sheetData>
  <sheetProtection sheet="1" objects="1" scenarios="1"/>
  <protectedRanges>
    <protectedRange sqref="B3:C113" name="区域3_1"/>
    <protectedRange sqref="D3:G113" name="区域3_1_1"/>
  </protectedRange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102"/>
  <sheetViews>
    <sheetView showGridLines="0" tabSelected="1" zoomScale="115" zoomScaleNormal="115" workbookViewId="0">
      <pane ySplit="2" topLeftCell="A67" activePane="bottomLeft" state="frozen"/>
      <selection pane="bottomLeft" activeCell="C92" sqref="C92"/>
    </sheetView>
  </sheetViews>
  <sheetFormatPr defaultColWidth="0" defaultRowHeight="14.25" x14ac:dyDescent="0.2"/>
  <cols>
    <col min="1" max="1" width="8.375" customWidth="1"/>
    <col min="2" max="2" width="8.75" customWidth="1"/>
    <col min="3" max="3" width="6.625" customWidth="1"/>
    <col min="4" max="4" width="8.5" customWidth="1"/>
    <col min="5" max="5" width="14.875" customWidth="1"/>
    <col min="6" max="6" width="8.875" customWidth="1"/>
    <col min="7" max="7" width="15" customWidth="1"/>
    <col min="8" max="8" width="3" customWidth="1"/>
    <col min="9" max="9" width="21.875" customWidth="1"/>
    <col min="10" max="10" width="8.875" customWidth="1"/>
    <col min="11" max="11" width="9" customWidth="1"/>
    <col min="12" max="12" width="13.125" customWidth="1"/>
    <col min="13" max="13" width="9" customWidth="1"/>
    <col min="14" max="18" width="9" hidden="1" customWidth="1"/>
    <col min="19" max="19" width="14.625" hidden="1" customWidth="1"/>
    <col min="20" max="20" width="11.25" hidden="1" customWidth="1"/>
    <col min="21" max="16384" width="9" hidden="1"/>
  </cols>
  <sheetData>
    <row r="1" spans="1:14" ht="24.75" customHeight="1" x14ac:dyDescent="0.2">
      <c r="A1" s="41" t="s">
        <v>118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24.75" customHeight="1" x14ac:dyDescent="0.2">
      <c r="A2" s="41" t="s">
        <v>139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4" ht="60" customHeight="1" x14ac:dyDescent="0.2">
      <c r="A3" s="87"/>
      <c r="B3" s="87"/>
      <c r="C3" s="87"/>
      <c r="D3" s="87"/>
      <c r="E3" s="87"/>
      <c r="F3" s="87"/>
      <c r="G3" s="87"/>
      <c r="H3" s="87"/>
      <c r="I3" s="87"/>
    </row>
    <row r="4" spans="1:14" ht="15.75" customHeight="1" x14ac:dyDescent="0.2">
      <c r="A4" s="88" t="s">
        <v>55</v>
      </c>
      <c r="B4" s="88"/>
      <c r="C4" s="88"/>
      <c r="D4" s="88"/>
      <c r="E4" s="88"/>
      <c r="F4" s="88"/>
      <c r="G4" s="88"/>
      <c r="H4" s="88"/>
      <c r="I4" s="88"/>
    </row>
    <row r="5" spans="1:14" ht="12.75" customHeight="1" x14ac:dyDescent="0.2">
      <c r="A5" s="89" t="s">
        <v>56</v>
      </c>
      <c r="B5" s="90"/>
      <c r="C5" s="90"/>
      <c r="D5" s="90"/>
      <c r="E5" s="90"/>
      <c r="F5" s="90"/>
      <c r="G5" s="90"/>
      <c r="H5" s="90"/>
      <c r="I5" s="90"/>
    </row>
    <row r="6" spans="1:14" ht="8.25" customHeight="1" thickBot="1" x14ac:dyDescent="0.25">
      <c r="A6" s="91"/>
      <c r="B6" s="91"/>
      <c r="C6" s="91"/>
      <c r="D6" s="91"/>
      <c r="E6" s="91"/>
      <c r="F6" s="91"/>
      <c r="G6" s="91"/>
      <c r="H6" s="91"/>
      <c r="I6" s="91"/>
    </row>
    <row r="7" spans="1:14" ht="12.75" customHeight="1" x14ac:dyDescent="0.2">
      <c r="A7" s="65" t="s">
        <v>57</v>
      </c>
      <c r="B7" s="60" t="s">
        <v>58</v>
      </c>
      <c r="C7" s="60"/>
      <c r="D7" s="60"/>
      <c r="E7" s="60" t="s">
        <v>59</v>
      </c>
      <c r="F7" s="60"/>
      <c r="G7" s="60" t="s">
        <v>60</v>
      </c>
      <c r="H7" s="60"/>
      <c r="I7" s="63"/>
    </row>
    <row r="8" spans="1:14" ht="12.75" customHeight="1" thickBot="1" x14ac:dyDescent="0.25">
      <c r="A8" s="66"/>
      <c r="B8" s="62"/>
      <c r="C8" s="62"/>
      <c r="D8" s="62"/>
      <c r="E8" s="62"/>
      <c r="F8" s="62"/>
      <c r="G8" s="62"/>
      <c r="H8" s="62"/>
      <c r="I8" s="64"/>
    </row>
    <row r="9" spans="1:14" ht="6.75" customHeight="1" thickBot="1" x14ac:dyDescent="0.25">
      <c r="A9" s="92"/>
      <c r="B9" s="92"/>
      <c r="C9" s="92"/>
      <c r="D9" s="92"/>
      <c r="E9" s="92"/>
      <c r="F9" s="92"/>
      <c r="G9" s="92"/>
      <c r="H9" s="92"/>
      <c r="I9" s="92"/>
    </row>
    <row r="10" spans="1:14" ht="12.75" customHeight="1" x14ac:dyDescent="0.2">
      <c r="A10" s="59" t="s">
        <v>61</v>
      </c>
      <c r="B10" s="47"/>
      <c r="C10" s="60"/>
      <c r="D10" s="60"/>
      <c r="E10" s="60"/>
      <c r="F10" s="60"/>
      <c r="G10" s="60"/>
      <c r="H10" s="60"/>
      <c r="I10" s="63"/>
    </row>
    <row r="11" spans="1:14" ht="12.75" customHeight="1" x14ac:dyDescent="0.2">
      <c r="A11" s="76"/>
      <c r="B11" s="77"/>
      <c r="C11" s="77"/>
      <c r="D11" s="77"/>
      <c r="E11" s="77"/>
      <c r="F11" s="77"/>
      <c r="G11" s="77"/>
      <c r="H11" s="77"/>
      <c r="I11" s="95"/>
    </row>
    <row r="12" spans="1:14" ht="21.75" customHeight="1" thickBot="1" x14ac:dyDescent="0.25">
      <c r="A12" s="61"/>
      <c r="B12" s="62"/>
      <c r="C12" s="62"/>
      <c r="D12" s="62"/>
      <c r="E12" s="62"/>
      <c r="F12" s="62"/>
      <c r="G12" s="62"/>
      <c r="H12" s="62"/>
      <c r="I12" s="64"/>
    </row>
    <row r="13" spans="1:14" ht="7.5" customHeight="1" thickBot="1" x14ac:dyDescent="0.25">
      <c r="A13" s="96"/>
      <c r="B13" s="97"/>
      <c r="C13" s="97"/>
      <c r="D13" s="97"/>
      <c r="E13" s="97"/>
      <c r="F13" s="97"/>
      <c r="G13" s="97"/>
      <c r="H13" s="97"/>
      <c r="I13" s="98"/>
    </row>
    <row r="14" spans="1:14" ht="17.45" customHeight="1" thickBot="1" x14ac:dyDescent="0.25">
      <c r="A14" s="80"/>
      <c r="B14" s="81"/>
      <c r="C14" s="81"/>
      <c r="D14" s="81" t="s">
        <v>64</v>
      </c>
      <c r="E14" s="81"/>
      <c r="F14" s="81"/>
      <c r="G14" s="81"/>
      <c r="H14" s="81"/>
      <c r="I14" s="82"/>
    </row>
    <row r="15" spans="1:14" ht="18.75" customHeight="1" x14ac:dyDescent="0.2">
      <c r="A15" s="100" t="s">
        <v>62</v>
      </c>
      <c r="B15" s="101"/>
      <c r="C15" s="102"/>
      <c r="D15" s="103">
        <v>1</v>
      </c>
      <c r="E15" s="104"/>
      <c r="F15" s="103">
        <v>2</v>
      </c>
      <c r="G15" s="104"/>
      <c r="H15" s="103">
        <v>3</v>
      </c>
      <c r="I15" s="82"/>
    </row>
    <row r="16" spans="1:14" ht="39" customHeight="1" thickBot="1" x14ac:dyDescent="0.25">
      <c r="A16" s="61" t="s">
        <v>63</v>
      </c>
      <c r="B16" s="62"/>
      <c r="C16" s="62"/>
      <c r="D16" s="105"/>
      <c r="E16" s="106"/>
      <c r="F16" s="105"/>
      <c r="G16" s="106"/>
      <c r="H16" s="105"/>
      <c r="I16" s="107"/>
    </row>
    <row r="17" spans="1:9" ht="19.350000000000001" hidden="1" customHeight="1" x14ac:dyDescent="0.2">
      <c r="A17" s="162" t="s">
        <v>65</v>
      </c>
      <c r="B17" s="163"/>
      <c r="C17" s="163"/>
      <c r="D17" s="164">
        <v>23.068403599914571</v>
      </c>
      <c r="E17" s="164"/>
      <c r="F17" s="164">
        <v>17.66550488283497</v>
      </c>
      <c r="G17" s="164"/>
      <c r="H17" s="164">
        <v>22.842138059815493</v>
      </c>
      <c r="I17" s="165"/>
    </row>
    <row r="18" spans="1:9" ht="19.350000000000001" hidden="1" customHeight="1" x14ac:dyDescent="0.2">
      <c r="A18" s="162" t="s">
        <v>66</v>
      </c>
      <c r="B18" s="163"/>
      <c r="C18" s="163"/>
      <c r="D18" s="166">
        <v>4.341085271317837E-2</v>
      </c>
      <c r="E18" s="166"/>
      <c r="F18" s="166">
        <v>5.2209302325581401E-2</v>
      </c>
      <c r="G18" s="166"/>
      <c r="H18" s="166">
        <v>4.5348837209302405E-2</v>
      </c>
      <c r="I18" s="167"/>
    </row>
    <row r="19" spans="1:9" ht="19.350000000000001" hidden="1" customHeight="1" x14ac:dyDescent="0.2">
      <c r="A19" s="162" t="s">
        <v>67</v>
      </c>
      <c r="B19" s="163"/>
      <c r="C19" s="163"/>
      <c r="D19" s="166">
        <v>4.333333333333337E-2</v>
      </c>
      <c r="E19" s="166"/>
      <c r="F19" s="166">
        <v>5.8425925925925909E-2</v>
      </c>
      <c r="G19" s="166"/>
      <c r="H19" s="166">
        <v>4.333333333333337E-2</v>
      </c>
      <c r="I19" s="167"/>
    </row>
    <row r="20" spans="1:9" ht="19.350000000000001" hidden="1" customHeight="1" x14ac:dyDescent="0.2">
      <c r="A20" s="162" t="s">
        <v>68</v>
      </c>
      <c r="B20" s="163"/>
      <c r="C20" s="163"/>
      <c r="D20" s="166">
        <f>1-D18</f>
        <v>0.95658914728682165</v>
      </c>
      <c r="E20" s="166"/>
      <c r="F20" s="166">
        <f>1-F18</f>
        <v>0.94779069767441859</v>
      </c>
      <c r="G20" s="166"/>
      <c r="H20" s="166">
        <f>1-H18</f>
        <v>0.95465116279069762</v>
      </c>
      <c r="I20" s="167"/>
    </row>
    <row r="21" spans="1:9" ht="19.350000000000001" hidden="1" customHeight="1" thickBot="1" x14ac:dyDescent="0.25">
      <c r="A21" s="162" t="s">
        <v>69</v>
      </c>
      <c r="B21" s="163"/>
      <c r="C21" s="163"/>
      <c r="D21" s="166">
        <f>1-D19</f>
        <v>0.95666666666666667</v>
      </c>
      <c r="E21" s="166"/>
      <c r="F21" s="166">
        <f>1-F19</f>
        <v>0.94157407407407412</v>
      </c>
      <c r="G21" s="166"/>
      <c r="H21" s="166">
        <f>1-H19</f>
        <v>0.95666666666666667</v>
      </c>
      <c r="I21" s="167"/>
    </row>
    <row r="22" spans="1:9" ht="18.75" customHeight="1" x14ac:dyDescent="0.2">
      <c r="A22" s="100" t="s">
        <v>62</v>
      </c>
      <c r="B22" s="101"/>
      <c r="C22" s="102"/>
      <c r="D22" s="103">
        <v>4</v>
      </c>
      <c r="E22" s="104"/>
      <c r="F22" s="103">
        <v>5</v>
      </c>
      <c r="G22" s="104"/>
      <c r="H22" s="103">
        <v>6</v>
      </c>
      <c r="I22" s="82"/>
    </row>
    <row r="23" spans="1:9" ht="39" customHeight="1" thickBot="1" x14ac:dyDescent="0.25">
      <c r="A23" s="61" t="s">
        <v>63</v>
      </c>
      <c r="B23" s="62"/>
      <c r="C23" s="62"/>
      <c r="D23" s="105"/>
      <c r="E23" s="106"/>
      <c r="F23" s="105"/>
      <c r="G23" s="106"/>
      <c r="H23" s="105"/>
      <c r="I23" s="107"/>
    </row>
    <row r="24" spans="1:9" ht="19.350000000000001" hidden="1" customHeight="1" x14ac:dyDescent="0.2">
      <c r="A24" s="168" t="s">
        <v>65</v>
      </c>
      <c r="B24" s="169"/>
      <c r="C24" s="169"/>
      <c r="D24" s="170">
        <v>22.842138059815493</v>
      </c>
      <c r="E24" s="170"/>
      <c r="F24" s="170">
        <v>22.842138059815493</v>
      </c>
      <c r="G24" s="170"/>
      <c r="H24" s="170">
        <v>22.842138059815493</v>
      </c>
      <c r="I24" s="171"/>
    </row>
    <row r="25" spans="1:9" ht="19.350000000000001" hidden="1" customHeight="1" x14ac:dyDescent="0.2">
      <c r="A25" s="168" t="s">
        <v>66</v>
      </c>
      <c r="B25" s="169"/>
      <c r="C25" s="169"/>
      <c r="D25" s="172">
        <v>4.5348837209302405E-2</v>
      </c>
      <c r="E25" s="172"/>
      <c r="F25" s="172">
        <v>4.5348837209302405E-2</v>
      </c>
      <c r="G25" s="172"/>
      <c r="H25" s="172">
        <v>4.5348837209302405E-2</v>
      </c>
      <c r="I25" s="173"/>
    </row>
    <row r="26" spans="1:9" ht="19.350000000000001" hidden="1" customHeight="1" x14ac:dyDescent="0.2">
      <c r="A26" s="168" t="s">
        <v>67</v>
      </c>
      <c r="B26" s="169"/>
      <c r="C26" s="169"/>
      <c r="D26" s="172">
        <v>4.333333333333337E-2</v>
      </c>
      <c r="E26" s="172"/>
      <c r="F26" s="172">
        <v>4.333333333333337E-2</v>
      </c>
      <c r="G26" s="172"/>
      <c r="H26" s="172">
        <v>4.333333333333337E-2</v>
      </c>
      <c r="I26" s="173"/>
    </row>
    <row r="27" spans="1:9" ht="19.350000000000001" hidden="1" customHeight="1" x14ac:dyDescent="0.2">
      <c r="A27" s="168" t="s">
        <v>68</v>
      </c>
      <c r="B27" s="169"/>
      <c r="C27" s="169"/>
      <c r="D27" s="172">
        <f>1-D25</f>
        <v>0.95465116279069762</v>
      </c>
      <c r="E27" s="172"/>
      <c r="F27" s="172">
        <f>1-F25</f>
        <v>0.95465116279069762</v>
      </c>
      <c r="G27" s="172"/>
      <c r="H27" s="172">
        <f>1-H25</f>
        <v>0.95465116279069762</v>
      </c>
      <c r="I27" s="173"/>
    </row>
    <row r="28" spans="1:9" ht="19.350000000000001" hidden="1" customHeight="1" thickBot="1" x14ac:dyDescent="0.25">
      <c r="A28" s="168" t="s">
        <v>69</v>
      </c>
      <c r="B28" s="169"/>
      <c r="C28" s="169"/>
      <c r="D28" s="172">
        <f>1-D26</f>
        <v>0.95666666666666667</v>
      </c>
      <c r="E28" s="172"/>
      <c r="F28" s="172">
        <f>1-F26</f>
        <v>0.95666666666666667</v>
      </c>
      <c r="G28" s="172"/>
      <c r="H28" s="172">
        <f>1-H26</f>
        <v>0.95666666666666667</v>
      </c>
      <c r="I28" s="173"/>
    </row>
    <row r="29" spans="1:9" ht="18.75" customHeight="1" x14ac:dyDescent="0.2">
      <c r="A29" s="100" t="s">
        <v>62</v>
      </c>
      <c r="B29" s="101"/>
      <c r="C29" s="102"/>
      <c r="D29" s="103">
        <v>7</v>
      </c>
      <c r="E29" s="104"/>
      <c r="F29" s="103">
        <v>8</v>
      </c>
      <c r="G29" s="104"/>
      <c r="H29" s="103">
        <v>9</v>
      </c>
      <c r="I29" s="82"/>
    </row>
    <row r="30" spans="1:9" ht="39" customHeight="1" thickBot="1" x14ac:dyDescent="0.25">
      <c r="A30" s="61" t="s">
        <v>63</v>
      </c>
      <c r="B30" s="62"/>
      <c r="C30" s="62"/>
      <c r="D30" s="105"/>
      <c r="E30" s="106"/>
      <c r="F30" s="105"/>
      <c r="G30" s="106"/>
      <c r="H30" s="105"/>
      <c r="I30" s="107"/>
    </row>
    <row r="31" spans="1:9" ht="19.350000000000001" hidden="1" customHeight="1" x14ac:dyDescent="0.2">
      <c r="A31" s="174" t="s">
        <v>65</v>
      </c>
      <c r="B31" s="175"/>
      <c r="C31" s="175"/>
      <c r="D31" s="176">
        <v>22.842138059815493</v>
      </c>
      <c r="E31" s="176"/>
      <c r="F31" s="176">
        <v>22.842138059815493</v>
      </c>
      <c r="G31" s="176"/>
      <c r="H31" s="176">
        <v>22.842138059815493</v>
      </c>
      <c r="I31" s="177"/>
    </row>
    <row r="32" spans="1:9" ht="19.350000000000001" hidden="1" customHeight="1" x14ac:dyDescent="0.2">
      <c r="A32" s="174" t="s">
        <v>66</v>
      </c>
      <c r="B32" s="175"/>
      <c r="C32" s="175"/>
      <c r="D32" s="178">
        <v>4.5348837209302405E-2</v>
      </c>
      <c r="E32" s="178"/>
      <c r="F32" s="178">
        <v>4.5348837209302405E-2</v>
      </c>
      <c r="G32" s="178"/>
      <c r="H32" s="178">
        <v>4.5348837209302405E-2</v>
      </c>
      <c r="I32" s="179"/>
    </row>
    <row r="33" spans="1:9" ht="19.350000000000001" hidden="1" customHeight="1" x14ac:dyDescent="0.2">
      <c r="A33" s="174" t="s">
        <v>67</v>
      </c>
      <c r="B33" s="175"/>
      <c r="C33" s="175"/>
      <c r="D33" s="178">
        <v>4.333333333333337E-2</v>
      </c>
      <c r="E33" s="178"/>
      <c r="F33" s="178">
        <v>4.333333333333337E-2</v>
      </c>
      <c r="G33" s="178"/>
      <c r="H33" s="178">
        <v>4.333333333333337E-2</v>
      </c>
      <c r="I33" s="179"/>
    </row>
    <row r="34" spans="1:9" ht="19.350000000000001" hidden="1" customHeight="1" x14ac:dyDescent="0.2">
      <c r="A34" s="174" t="s">
        <v>68</v>
      </c>
      <c r="B34" s="175"/>
      <c r="C34" s="175"/>
      <c r="D34" s="178">
        <f>1-D32</f>
        <v>0.95465116279069762</v>
      </c>
      <c r="E34" s="178"/>
      <c r="F34" s="178">
        <f>1-F32</f>
        <v>0.95465116279069762</v>
      </c>
      <c r="G34" s="178"/>
      <c r="H34" s="178">
        <f>1-H32</f>
        <v>0.95465116279069762</v>
      </c>
      <c r="I34" s="179"/>
    </row>
    <row r="35" spans="1:9" ht="19.350000000000001" hidden="1" customHeight="1" x14ac:dyDescent="0.2">
      <c r="A35" s="174" t="s">
        <v>69</v>
      </c>
      <c r="B35" s="175"/>
      <c r="C35" s="175"/>
      <c r="D35" s="178">
        <f>1-D33</f>
        <v>0.95666666666666667</v>
      </c>
      <c r="E35" s="178"/>
      <c r="F35" s="178">
        <f>1-F33</f>
        <v>0.95666666666666667</v>
      </c>
      <c r="G35" s="178"/>
      <c r="H35" s="178">
        <f>1-H33</f>
        <v>0.95666666666666667</v>
      </c>
      <c r="I35" s="179"/>
    </row>
    <row r="36" spans="1:9" ht="19.350000000000001" customHeight="1" x14ac:dyDescent="0.2">
      <c r="A36" s="76" t="s">
        <v>65</v>
      </c>
      <c r="B36" s="77"/>
      <c r="C36" s="77"/>
      <c r="D36" s="159">
        <f>AVERAGE(D17:I17,D24:I24,D31:I31)</f>
        <v>22.292097211273109</v>
      </c>
      <c r="E36" s="180"/>
      <c r="F36" s="180"/>
      <c r="G36" s="180"/>
      <c r="H36" s="180"/>
      <c r="I36" s="161"/>
    </row>
    <row r="37" spans="1:9" ht="19.350000000000001" customHeight="1" x14ac:dyDescent="0.2">
      <c r="A37" s="76" t="s">
        <v>66</v>
      </c>
      <c r="B37" s="77"/>
      <c r="C37" s="77"/>
      <c r="D37" s="181">
        <f>AVERAGE(D18:I18,D25:I25,D32:I32)</f>
        <v>4.5895779500430729E-2</v>
      </c>
      <c r="E37" s="182"/>
      <c r="F37" s="182"/>
      <c r="G37" s="182"/>
      <c r="H37" s="182"/>
      <c r="I37" s="183"/>
    </row>
    <row r="38" spans="1:9" ht="19.350000000000001" customHeight="1" x14ac:dyDescent="0.2">
      <c r="A38" s="76" t="s">
        <v>67</v>
      </c>
      <c r="B38" s="77"/>
      <c r="C38" s="77"/>
      <c r="D38" s="181">
        <f>AVERAGE(D19:I19,D26:I26,D33:I33)</f>
        <v>4.5010288065843652E-2</v>
      </c>
      <c r="E38" s="182"/>
      <c r="F38" s="182"/>
      <c r="G38" s="182"/>
      <c r="H38" s="182"/>
      <c r="I38" s="183"/>
    </row>
    <row r="39" spans="1:9" ht="19.350000000000001" customHeight="1" x14ac:dyDescent="0.2">
      <c r="A39" s="76" t="s">
        <v>68</v>
      </c>
      <c r="B39" s="77"/>
      <c r="C39" s="77"/>
      <c r="D39" s="181">
        <f>1-D37</f>
        <v>0.95410422049956922</v>
      </c>
      <c r="E39" s="182"/>
      <c r="F39" s="182"/>
      <c r="G39" s="182"/>
      <c r="H39" s="182"/>
      <c r="I39" s="183"/>
    </row>
    <row r="40" spans="1:9" ht="19.350000000000001" customHeight="1" x14ac:dyDescent="0.2">
      <c r="A40" s="76" t="s">
        <v>69</v>
      </c>
      <c r="B40" s="77"/>
      <c r="C40" s="77"/>
      <c r="D40" s="181">
        <f>1-D38</f>
        <v>0.95498971193415638</v>
      </c>
      <c r="E40" s="182"/>
      <c r="F40" s="182"/>
      <c r="G40" s="182"/>
      <c r="H40" s="182"/>
      <c r="I40" s="183"/>
    </row>
    <row r="41" spans="1:9" ht="19.350000000000001" customHeight="1" x14ac:dyDescent="0.2">
      <c r="A41" s="76" t="s">
        <v>70</v>
      </c>
      <c r="B41" s="77"/>
      <c r="C41" s="77"/>
      <c r="D41" s="112" t="s">
        <v>156</v>
      </c>
      <c r="E41" s="184"/>
      <c r="F41" s="184"/>
      <c r="G41" s="184"/>
      <c r="H41" s="184"/>
      <c r="I41" s="113"/>
    </row>
    <row r="42" spans="1:9" ht="19.350000000000001" customHeight="1" x14ac:dyDescent="0.2">
      <c r="A42" s="84" t="s">
        <v>141</v>
      </c>
      <c r="B42" s="85"/>
      <c r="C42" s="86"/>
      <c r="D42" s="112">
        <v>9</v>
      </c>
      <c r="E42" s="184"/>
      <c r="F42" s="184"/>
      <c r="G42" s="184"/>
      <c r="H42" s="184"/>
      <c r="I42" s="113"/>
    </row>
    <row r="43" spans="1:9" ht="19.350000000000001" customHeight="1" thickBot="1" x14ac:dyDescent="0.25">
      <c r="A43" s="61" t="s">
        <v>71</v>
      </c>
      <c r="B43" s="62"/>
      <c r="C43" s="62"/>
      <c r="D43" s="186">
        <f>_xlfn.STDEV.S(D17:I17,D24:I24,D31:I31)</f>
        <v>1.7365851090597593</v>
      </c>
      <c r="E43" s="185"/>
      <c r="F43" s="185"/>
      <c r="G43" s="185"/>
      <c r="H43" s="185"/>
      <c r="I43" s="107"/>
    </row>
    <row r="44" spans="1:9" ht="5.0999999999999996" customHeight="1" thickBot="1" x14ac:dyDescent="0.25">
      <c r="A44" s="58"/>
      <c r="B44" s="58"/>
      <c r="C44" s="58"/>
      <c r="D44" s="58"/>
      <c r="E44" s="58"/>
      <c r="F44" s="58"/>
      <c r="G44" s="58"/>
      <c r="H44" s="58"/>
      <c r="I44" s="58"/>
    </row>
    <row r="45" spans="1:9" ht="18" customHeight="1" thickBot="1" x14ac:dyDescent="0.25">
      <c r="A45" s="80"/>
      <c r="B45" s="81"/>
      <c r="C45" s="81"/>
      <c r="D45" s="81" t="s">
        <v>72</v>
      </c>
      <c r="E45" s="81"/>
      <c r="F45" s="81"/>
      <c r="G45" s="81"/>
      <c r="H45" s="81"/>
      <c r="I45" s="82"/>
    </row>
    <row r="46" spans="1:9" ht="18.75" customHeight="1" x14ac:dyDescent="0.2">
      <c r="A46" s="100" t="s">
        <v>62</v>
      </c>
      <c r="B46" s="101"/>
      <c r="C46" s="102"/>
      <c r="D46" s="103">
        <v>1</v>
      </c>
      <c r="E46" s="104"/>
      <c r="F46" s="103">
        <v>2</v>
      </c>
      <c r="G46" s="104"/>
      <c r="H46" s="103">
        <v>3</v>
      </c>
      <c r="I46" s="82"/>
    </row>
    <row r="47" spans="1:9" ht="39" customHeight="1" thickBot="1" x14ac:dyDescent="0.25">
      <c r="A47" s="61" t="s">
        <v>63</v>
      </c>
      <c r="B47" s="62"/>
      <c r="C47" s="62"/>
      <c r="D47" s="105"/>
      <c r="E47" s="106"/>
      <c r="F47" s="105"/>
      <c r="G47" s="106"/>
      <c r="H47" s="105"/>
      <c r="I47" s="107"/>
    </row>
    <row r="48" spans="1:9" ht="19.350000000000001" hidden="1" customHeight="1" x14ac:dyDescent="0.2">
      <c r="A48" s="162" t="s">
        <v>65</v>
      </c>
      <c r="B48" s="163"/>
      <c r="C48" s="163"/>
      <c r="D48" s="164">
        <v>100.21885383985033</v>
      </c>
      <c r="E48" s="164"/>
      <c r="F48" s="164">
        <v>72.317442819599023</v>
      </c>
      <c r="G48" s="164"/>
      <c r="H48" s="164">
        <v>100.21885383985033</v>
      </c>
      <c r="I48" s="165"/>
    </row>
    <row r="49" spans="1:9" ht="19.350000000000001" hidden="1" customHeight="1" x14ac:dyDescent="0.2">
      <c r="A49" s="162" t="s">
        <v>66</v>
      </c>
      <c r="B49" s="163"/>
      <c r="C49" s="163"/>
      <c r="D49" s="166">
        <v>1.1529623477297904E-2</v>
      </c>
      <c r="E49" s="166"/>
      <c r="F49" s="166">
        <v>2.9630398671096347E-2</v>
      </c>
      <c r="G49" s="166"/>
      <c r="H49" s="166">
        <v>1.1529623477297904E-2</v>
      </c>
      <c r="I49" s="167"/>
    </row>
    <row r="50" spans="1:9" ht="19.350000000000001" hidden="1" customHeight="1" x14ac:dyDescent="0.2">
      <c r="A50" s="162" t="s">
        <v>67</v>
      </c>
      <c r="B50" s="163"/>
      <c r="C50" s="163"/>
      <c r="D50" s="166">
        <v>1.0388888888888894E-2</v>
      </c>
      <c r="E50" s="166"/>
      <c r="F50" s="166">
        <v>1.0388888888888894E-2</v>
      </c>
      <c r="G50" s="166"/>
      <c r="H50" s="166">
        <v>1.0388888888888894E-2</v>
      </c>
      <c r="I50" s="167"/>
    </row>
    <row r="51" spans="1:9" ht="19.350000000000001" hidden="1" customHeight="1" x14ac:dyDescent="0.2">
      <c r="A51" s="162" t="s">
        <v>68</v>
      </c>
      <c r="B51" s="163"/>
      <c r="C51" s="163"/>
      <c r="D51" s="166">
        <f>1-D49</f>
        <v>0.98847037652270209</v>
      </c>
      <c r="E51" s="166"/>
      <c r="F51" s="166">
        <f>1-F49</f>
        <v>0.9703696013289036</v>
      </c>
      <c r="G51" s="166"/>
      <c r="H51" s="166">
        <f>1-H49</f>
        <v>0.98847037652270209</v>
      </c>
      <c r="I51" s="167"/>
    </row>
    <row r="52" spans="1:9" ht="19.350000000000001" hidden="1" customHeight="1" thickBot="1" x14ac:dyDescent="0.25">
      <c r="A52" s="162" t="s">
        <v>69</v>
      </c>
      <c r="B52" s="163"/>
      <c r="C52" s="163"/>
      <c r="D52" s="187">
        <f>1-D50</f>
        <v>0.98961111111111111</v>
      </c>
      <c r="E52" s="166"/>
      <c r="F52" s="166">
        <f>1-F50</f>
        <v>0.98961111111111111</v>
      </c>
      <c r="G52" s="166"/>
      <c r="H52" s="166">
        <f>1-H50</f>
        <v>0.98961111111111111</v>
      </c>
      <c r="I52" s="167"/>
    </row>
    <row r="53" spans="1:9" ht="18.75" customHeight="1" x14ac:dyDescent="0.2">
      <c r="A53" s="100" t="s">
        <v>62</v>
      </c>
      <c r="B53" s="101"/>
      <c r="C53" s="102"/>
      <c r="D53" s="103">
        <v>4</v>
      </c>
      <c r="E53" s="104"/>
      <c r="F53" s="103">
        <v>5</v>
      </c>
      <c r="G53" s="104"/>
      <c r="H53" s="103">
        <v>6</v>
      </c>
      <c r="I53" s="82"/>
    </row>
    <row r="54" spans="1:9" ht="39" customHeight="1" thickBot="1" x14ac:dyDescent="0.25">
      <c r="A54" s="61" t="s">
        <v>63</v>
      </c>
      <c r="B54" s="62"/>
      <c r="C54" s="62"/>
      <c r="D54" s="105"/>
      <c r="E54" s="106"/>
      <c r="F54" s="105"/>
      <c r="G54" s="106"/>
      <c r="H54" s="105"/>
      <c r="I54" s="107"/>
    </row>
    <row r="55" spans="1:9" ht="19.350000000000001" hidden="1" customHeight="1" x14ac:dyDescent="0.2">
      <c r="A55" s="168" t="s">
        <v>65</v>
      </c>
      <c r="B55" s="169"/>
      <c r="C55" s="169"/>
      <c r="D55" s="170">
        <v>100.21885383985033</v>
      </c>
      <c r="E55" s="170"/>
      <c r="F55" s="170">
        <v>100.21885383985033</v>
      </c>
      <c r="G55" s="170"/>
      <c r="H55" s="170">
        <v>100.21885383985033</v>
      </c>
      <c r="I55" s="171"/>
    </row>
    <row r="56" spans="1:9" ht="19.350000000000001" hidden="1" customHeight="1" x14ac:dyDescent="0.2">
      <c r="A56" s="168" t="s">
        <v>66</v>
      </c>
      <c r="B56" s="169"/>
      <c r="C56" s="169"/>
      <c r="D56" s="172">
        <v>1.1529623477297904E-2</v>
      </c>
      <c r="E56" s="172"/>
      <c r="F56" s="172">
        <v>1.1529623477297904E-2</v>
      </c>
      <c r="G56" s="172"/>
      <c r="H56" s="172">
        <v>1.1529623477297904E-2</v>
      </c>
      <c r="I56" s="173"/>
    </row>
    <row r="57" spans="1:9" ht="19.350000000000001" hidden="1" customHeight="1" x14ac:dyDescent="0.2">
      <c r="A57" s="168" t="s">
        <v>67</v>
      </c>
      <c r="B57" s="169"/>
      <c r="C57" s="169"/>
      <c r="D57" s="172">
        <v>1.0388888888888894E-2</v>
      </c>
      <c r="E57" s="172"/>
      <c r="F57" s="172">
        <v>1.0388888888888894E-2</v>
      </c>
      <c r="G57" s="172"/>
      <c r="H57" s="172">
        <v>1.0388888888888894E-2</v>
      </c>
      <c r="I57" s="173"/>
    </row>
    <row r="58" spans="1:9" ht="19.350000000000001" hidden="1" customHeight="1" x14ac:dyDescent="0.2">
      <c r="A58" s="168" t="s">
        <v>68</v>
      </c>
      <c r="B58" s="169"/>
      <c r="C58" s="169"/>
      <c r="D58" s="172">
        <f>1-D56</f>
        <v>0.98847037652270209</v>
      </c>
      <c r="E58" s="172"/>
      <c r="F58" s="172">
        <f>1-F56</f>
        <v>0.98847037652270209</v>
      </c>
      <c r="G58" s="172"/>
      <c r="H58" s="172">
        <f>1-H56</f>
        <v>0.98847037652270209</v>
      </c>
      <c r="I58" s="173"/>
    </row>
    <row r="59" spans="1:9" ht="19.350000000000001" hidden="1" customHeight="1" thickBot="1" x14ac:dyDescent="0.25">
      <c r="A59" s="168" t="s">
        <v>69</v>
      </c>
      <c r="B59" s="169"/>
      <c r="C59" s="169"/>
      <c r="D59" s="188">
        <f>1-D57</f>
        <v>0.98961111111111111</v>
      </c>
      <c r="E59" s="172"/>
      <c r="F59" s="172">
        <f>1-F57</f>
        <v>0.98961111111111111</v>
      </c>
      <c r="G59" s="172"/>
      <c r="H59" s="172">
        <f>1-H57</f>
        <v>0.98961111111111111</v>
      </c>
      <c r="I59" s="173"/>
    </row>
    <row r="60" spans="1:9" ht="18.75" customHeight="1" x14ac:dyDescent="0.2">
      <c r="A60" s="100" t="s">
        <v>62</v>
      </c>
      <c r="B60" s="101"/>
      <c r="C60" s="102"/>
      <c r="D60" s="103">
        <v>7</v>
      </c>
      <c r="E60" s="104"/>
      <c r="F60" s="103">
        <v>8</v>
      </c>
      <c r="G60" s="104"/>
      <c r="H60" s="103">
        <v>9</v>
      </c>
      <c r="I60" s="82"/>
    </row>
    <row r="61" spans="1:9" ht="39" customHeight="1" thickBot="1" x14ac:dyDescent="0.25">
      <c r="A61" s="61" t="s">
        <v>63</v>
      </c>
      <c r="B61" s="62"/>
      <c r="C61" s="62"/>
      <c r="D61" s="105"/>
      <c r="E61" s="106"/>
      <c r="F61" s="105"/>
      <c r="G61" s="106"/>
      <c r="H61" s="105"/>
      <c r="I61" s="107"/>
    </row>
    <row r="62" spans="1:9" ht="19.350000000000001" hidden="1" customHeight="1" x14ac:dyDescent="0.2">
      <c r="A62" s="174" t="s">
        <v>65</v>
      </c>
      <c r="B62" s="175"/>
      <c r="C62" s="175"/>
      <c r="D62" s="176">
        <v>100.21885383985033</v>
      </c>
      <c r="E62" s="176"/>
      <c r="F62" s="176">
        <v>100.21885383985033</v>
      </c>
      <c r="G62" s="176"/>
      <c r="H62" s="176">
        <v>100.21885383985033</v>
      </c>
      <c r="I62" s="177"/>
    </row>
    <row r="63" spans="1:9" ht="19.350000000000001" hidden="1" customHeight="1" x14ac:dyDescent="0.2">
      <c r="A63" s="174" t="s">
        <v>66</v>
      </c>
      <c r="B63" s="175"/>
      <c r="C63" s="175"/>
      <c r="D63" s="178">
        <v>1.1529623477297904E-2</v>
      </c>
      <c r="E63" s="178"/>
      <c r="F63" s="178">
        <v>1.1529623477297904E-2</v>
      </c>
      <c r="G63" s="178"/>
      <c r="H63" s="178">
        <v>1.1529623477297904E-2</v>
      </c>
      <c r="I63" s="179"/>
    </row>
    <row r="64" spans="1:9" ht="19.350000000000001" hidden="1" customHeight="1" x14ac:dyDescent="0.2">
      <c r="A64" s="174" t="s">
        <v>67</v>
      </c>
      <c r="B64" s="175"/>
      <c r="C64" s="175"/>
      <c r="D64" s="178">
        <v>1.0388888888888894E-2</v>
      </c>
      <c r="E64" s="178"/>
      <c r="F64" s="178">
        <v>1.0388888888888894E-2</v>
      </c>
      <c r="G64" s="178"/>
      <c r="H64" s="178">
        <v>1.0388888888888894E-2</v>
      </c>
      <c r="I64" s="179"/>
    </row>
    <row r="65" spans="1:9" ht="19.350000000000001" hidden="1" customHeight="1" x14ac:dyDescent="0.2">
      <c r="A65" s="174" t="s">
        <v>68</v>
      </c>
      <c r="B65" s="175"/>
      <c r="C65" s="175"/>
      <c r="D65" s="178">
        <f>1-D63</f>
        <v>0.98847037652270209</v>
      </c>
      <c r="E65" s="178"/>
      <c r="F65" s="178">
        <f>1-F63</f>
        <v>0.98847037652270209</v>
      </c>
      <c r="G65" s="178"/>
      <c r="H65" s="178">
        <f>1-H63</f>
        <v>0.98847037652270209</v>
      </c>
      <c r="I65" s="179"/>
    </row>
    <row r="66" spans="1:9" ht="19.350000000000001" hidden="1" customHeight="1" x14ac:dyDescent="0.2">
      <c r="A66" s="174" t="s">
        <v>69</v>
      </c>
      <c r="B66" s="175"/>
      <c r="C66" s="175"/>
      <c r="D66" s="189">
        <f>1-D64</f>
        <v>0.98961111111111111</v>
      </c>
      <c r="E66" s="178"/>
      <c r="F66" s="178">
        <f>1-F64</f>
        <v>0.98961111111111111</v>
      </c>
      <c r="G66" s="178"/>
      <c r="H66" s="178">
        <f>1-H64</f>
        <v>0.98961111111111111</v>
      </c>
      <c r="I66" s="179"/>
    </row>
    <row r="67" spans="1:9" ht="19.350000000000001" customHeight="1" x14ac:dyDescent="0.2">
      <c r="A67" s="76" t="s">
        <v>65</v>
      </c>
      <c r="B67" s="77"/>
      <c r="C67" s="77"/>
      <c r="D67" s="159">
        <f>AVERAGE(D48:I48,D55:I55,D62:I62)</f>
        <v>97.118697059822409</v>
      </c>
      <c r="E67" s="180"/>
      <c r="F67" s="180"/>
      <c r="G67" s="180"/>
      <c r="H67" s="180"/>
      <c r="I67" s="161"/>
    </row>
    <row r="68" spans="1:9" ht="19.350000000000001" customHeight="1" x14ac:dyDescent="0.2">
      <c r="A68" s="76" t="s">
        <v>66</v>
      </c>
      <c r="B68" s="77"/>
      <c r="C68" s="77"/>
      <c r="D68" s="190">
        <f>AVERAGE(D49:I49,D56:I56,D63:I63)</f>
        <v>1.3540820721053283E-2</v>
      </c>
      <c r="E68" s="191"/>
      <c r="F68" s="191"/>
      <c r="G68" s="191"/>
      <c r="H68" s="191"/>
      <c r="I68" s="192"/>
    </row>
    <row r="69" spans="1:9" ht="19.350000000000001" customHeight="1" x14ac:dyDescent="0.2">
      <c r="A69" s="76" t="s">
        <v>67</v>
      </c>
      <c r="B69" s="77"/>
      <c r="C69" s="77"/>
      <c r="D69" s="190">
        <f>AVERAGE(D50:I50,D57:I57,D64:I64)</f>
        <v>1.0388888888888894E-2</v>
      </c>
      <c r="E69" s="191"/>
      <c r="F69" s="191"/>
      <c r="G69" s="191"/>
      <c r="H69" s="191"/>
      <c r="I69" s="192"/>
    </row>
    <row r="70" spans="1:9" ht="19.350000000000001" customHeight="1" x14ac:dyDescent="0.2">
      <c r="A70" s="76" t="s">
        <v>68</v>
      </c>
      <c r="B70" s="77"/>
      <c r="C70" s="77"/>
      <c r="D70" s="190">
        <f>1-D68</f>
        <v>0.98645917927894666</v>
      </c>
      <c r="E70" s="191"/>
      <c r="F70" s="191"/>
      <c r="G70" s="191"/>
      <c r="H70" s="191"/>
      <c r="I70" s="192"/>
    </row>
    <row r="71" spans="1:9" ht="19.350000000000001" customHeight="1" x14ac:dyDescent="0.2">
      <c r="A71" s="76" t="s">
        <v>69</v>
      </c>
      <c r="B71" s="77"/>
      <c r="C71" s="77"/>
      <c r="D71" s="190">
        <f>1-D69</f>
        <v>0.98961111111111111</v>
      </c>
      <c r="E71" s="191"/>
      <c r="F71" s="191"/>
      <c r="G71" s="191"/>
      <c r="H71" s="191"/>
      <c r="I71" s="192"/>
    </row>
    <row r="72" spans="1:9" ht="19.350000000000001" customHeight="1" x14ac:dyDescent="0.2">
      <c r="A72" s="76" t="s">
        <v>70</v>
      </c>
      <c r="B72" s="77"/>
      <c r="C72" s="77"/>
      <c r="D72" s="112" t="s">
        <v>157</v>
      </c>
      <c r="E72" s="184"/>
      <c r="F72" s="184"/>
      <c r="G72" s="184"/>
      <c r="H72" s="184"/>
      <c r="I72" s="113"/>
    </row>
    <row r="73" spans="1:9" ht="19.350000000000001" customHeight="1" x14ac:dyDescent="0.2">
      <c r="A73" s="84" t="s">
        <v>141</v>
      </c>
      <c r="B73" s="85"/>
      <c r="C73" s="86"/>
      <c r="D73" s="112">
        <v>9</v>
      </c>
      <c r="E73" s="184"/>
      <c r="F73" s="184"/>
      <c r="G73" s="184"/>
      <c r="H73" s="184"/>
      <c r="I73" s="113"/>
    </row>
    <row r="74" spans="1:9" ht="19.350000000000001" customHeight="1" thickBot="1" x14ac:dyDescent="0.25">
      <c r="A74" s="61" t="s">
        <v>71</v>
      </c>
      <c r="B74" s="62"/>
      <c r="C74" s="62"/>
      <c r="D74" s="186">
        <f>_xlfn.STDEV.S(D48:I48,D55:I55,D62:I62)</f>
        <v>9.3004703400837663</v>
      </c>
      <c r="E74" s="185"/>
      <c r="F74" s="185"/>
      <c r="G74" s="185"/>
      <c r="H74" s="185"/>
      <c r="I74" s="107"/>
    </row>
    <row r="75" spans="1:9" ht="8.25" customHeight="1" thickBot="1" x14ac:dyDescent="0.25">
      <c r="A75" s="58"/>
      <c r="B75" s="58"/>
      <c r="C75" s="58"/>
      <c r="D75" s="58"/>
      <c r="E75" s="58"/>
      <c r="F75" s="58"/>
      <c r="G75" s="58"/>
      <c r="H75" s="58"/>
      <c r="I75" s="58"/>
    </row>
    <row r="76" spans="1:9" ht="12.75" customHeight="1" x14ac:dyDescent="0.2">
      <c r="A76" s="59" t="s">
        <v>73</v>
      </c>
      <c r="B76" s="60"/>
      <c r="C76" s="60" t="s">
        <v>74</v>
      </c>
      <c r="D76" s="60"/>
      <c r="E76" s="60"/>
      <c r="F76" s="60"/>
      <c r="G76" s="60"/>
      <c r="H76" s="60"/>
      <c r="I76" s="63"/>
    </row>
    <row r="77" spans="1:9" ht="21" customHeight="1" thickBot="1" x14ac:dyDescent="0.25">
      <c r="A77" s="61"/>
      <c r="B77" s="62"/>
      <c r="C77" s="62"/>
      <c r="D77" s="62"/>
      <c r="E77" s="62"/>
      <c r="F77" s="62"/>
      <c r="G77" s="62"/>
      <c r="H77" s="62"/>
      <c r="I77" s="64"/>
    </row>
    <row r="78" spans="1:9" ht="22.35" customHeight="1" x14ac:dyDescent="0.2">
      <c r="A78" s="65" t="s">
        <v>75</v>
      </c>
      <c r="B78" s="67" t="s">
        <v>76</v>
      </c>
      <c r="C78" s="68"/>
      <c r="D78" s="68"/>
      <c r="E78" s="68"/>
      <c r="F78" s="68"/>
      <c r="G78" s="68"/>
      <c r="H78" s="68"/>
      <c r="I78" s="69"/>
    </row>
    <row r="79" spans="1:9" ht="44.45" customHeight="1" thickBot="1" x14ac:dyDescent="0.25">
      <c r="A79" s="66"/>
      <c r="B79" s="70"/>
      <c r="C79" s="70"/>
      <c r="D79" s="70"/>
      <c r="E79" s="70"/>
      <c r="F79" s="70"/>
      <c r="G79" s="70"/>
      <c r="H79" s="70"/>
      <c r="I79" s="71"/>
    </row>
    <row r="80" spans="1:9" ht="12.75" customHeight="1" x14ac:dyDescent="0.2">
      <c r="A80" s="46" t="s">
        <v>77</v>
      </c>
      <c r="B80" s="47"/>
      <c r="C80" s="47"/>
      <c r="D80" s="47"/>
      <c r="E80" s="47"/>
      <c r="F80" s="47"/>
      <c r="G80" s="47"/>
      <c r="H80" s="47"/>
      <c r="I80" s="48"/>
    </row>
    <row r="81" spans="1:9" ht="12.75" customHeight="1" x14ac:dyDescent="0.2">
      <c r="A81" s="49"/>
      <c r="B81" s="50"/>
      <c r="C81" s="50"/>
      <c r="D81" s="50"/>
      <c r="E81" s="50"/>
      <c r="F81" s="50"/>
      <c r="G81" s="50"/>
      <c r="H81" s="50"/>
      <c r="I81" s="51"/>
    </row>
    <row r="82" spans="1:9" ht="12.75" customHeight="1" x14ac:dyDescent="0.2">
      <c r="A82" s="49"/>
      <c r="B82" s="50"/>
      <c r="C82" s="50"/>
      <c r="D82" s="50"/>
      <c r="E82" s="50"/>
      <c r="F82" s="50"/>
      <c r="G82" s="50"/>
      <c r="H82" s="50"/>
      <c r="I82" s="51"/>
    </row>
    <row r="83" spans="1:9" ht="12.75" customHeight="1" x14ac:dyDescent="0.2">
      <c r="A83" s="52"/>
      <c r="B83" s="53"/>
      <c r="C83" s="53"/>
      <c r="D83" s="53"/>
      <c r="E83" s="53"/>
      <c r="F83" s="53"/>
      <c r="G83" s="53"/>
      <c r="H83" s="53"/>
      <c r="I83" s="54"/>
    </row>
    <row r="84" spans="1:9" ht="14.1" customHeight="1" thickBot="1" x14ac:dyDescent="0.25">
      <c r="A84" s="55"/>
      <c r="B84" s="56"/>
      <c r="C84" s="56"/>
      <c r="D84" s="56"/>
      <c r="E84" s="56"/>
      <c r="F84" s="56"/>
      <c r="G84" s="56"/>
      <c r="H84" s="56"/>
      <c r="I84" s="57"/>
    </row>
    <row r="85" spans="1:9" ht="19.350000000000001" customHeight="1" x14ac:dyDescent="0.2"/>
    <row r="86" spans="1:9" ht="19.350000000000001" customHeight="1" x14ac:dyDescent="0.2"/>
    <row r="87" spans="1:9" ht="19.350000000000001" customHeight="1" x14ac:dyDescent="0.2"/>
    <row r="88" spans="1:9" ht="19.350000000000001" customHeight="1" x14ac:dyDescent="0.2"/>
    <row r="89" spans="1:9" ht="8.25" customHeight="1" x14ac:dyDescent="0.2"/>
    <row r="90" spans="1:9" ht="12.75" customHeight="1" x14ac:dyDescent="0.2"/>
    <row r="91" spans="1:9" ht="21" customHeight="1" x14ac:dyDescent="0.2"/>
    <row r="92" spans="1:9" ht="22.35" customHeight="1" x14ac:dyDescent="0.2"/>
    <row r="93" spans="1:9" ht="44.45" customHeight="1" x14ac:dyDescent="0.2"/>
    <row r="94" spans="1:9" ht="12.75" customHeight="1" x14ac:dyDescent="0.2"/>
    <row r="95" spans="1:9" ht="12.75" customHeight="1" x14ac:dyDescent="0.2"/>
    <row r="96" spans="1:9" ht="12.75" customHeight="1" x14ac:dyDescent="0.2"/>
    <row r="97" ht="12.75" customHeight="1" x14ac:dyDescent="0.2"/>
    <row r="98" ht="14.1" customHeight="1" x14ac:dyDescent="0.2"/>
    <row r="99" ht="14.25" customHeight="1" x14ac:dyDescent="0.2"/>
    <row r="100" ht="14.25" customHeight="1" x14ac:dyDescent="0.2"/>
    <row r="101" ht="14.25" customHeight="1" x14ac:dyDescent="0.2"/>
    <row r="102" ht="15" customHeight="1" x14ac:dyDescent="0.2"/>
  </sheetData>
  <dataConsolidate/>
  <mergeCells count="223">
    <mergeCell ref="A78:A79"/>
    <mergeCell ref="B78:I79"/>
    <mergeCell ref="A80:I84"/>
    <mergeCell ref="D67:I67"/>
    <mergeCell ref="D68:I68"/>
    <mergeCell ref="D69:I69"/>
    <mergeCell ref="D70:I70"/>
    <mergeCell ref="D71:I71"/>
    <mergeCell ref="D72:I72"/>
    <mergeCell ref="D73:I73"/>
    <mergeCell ref="A74:C74"/>
    <mergeCell ref="A75:I75"/>
    <mergeCell ref="A76:B77"/>
    <mergeCell ref="C76:I77"/>
    <mergeCell ref="D74:I74"/>
    <mergeCell ref="A72:C72"/>
    <mergeCell ref="A73:C73"/>
    <mergeCell ref="A70:C70"/>
    <mergeCell ref="A71:C71"/>
    <mergeCell ref="A68:C68"/>
    <mergeCell ref="A69:C69"/>
    <mergeCell ref="A66:C66"/>
    <mergeCell ref="D66:E66"/>
    <mergeCell ref="F66:G66"/>
    <mergeCell ref="H66:I66"/>
    <mergeCell ref="A67:C67"/>
    <mergeCell ref="A64:C64"/>
    <mergeCell ref="D64:E64"/>
    <mergeCell ref="F64:G64"/>
    <mergeCell ref="H64:I64"/>
    <mergeCell ref="A65:C65"/>
    <mergeCell ref="D65:E65"/>
    <mergeCell ref="F65:G65"/>
    <mergeCell ref="H65:I65"/>
    <mergeCell ref="A62:C62"/>
    <mergeCell ref="D62:E62"/>
    <mergeCell ref="F62:G62"/>
    <mergeCell ref="H62:I62"/>
    <mergeCell ref="A63:C63"/>
    <mergeCell ref="D63:E63"/>
    <mergeCell ref="F63:G63"/>
    <mergeCell ref="H63:I63"/>
    <mergeCell ref="A60:C60"/>
    <mergeCell ref="D60:E60"/>
    <mergeCell ref="F60:G60"/>
    <mergeCell ref="H60:I60"/>
    <mergeCell ref="A61:C61"/>
    <mergeCell ref="D61:E61"/>
    <mergeCell ref="F61:G61"/>
    <mergeCell ref="H61:I61"/>
    <mergeCell ref="A58:C58"/>
    <mergeCell ref="D58:E58"/>
    <mergeCell ref="F58:G58"/>
    <mergeCell ref="H58:I58"/>
    <mergeCell ref="A59:C59"/>
    <mergeCell ref="D59:E59"/>
    <mergeCell ref="F59:G59"/>
    <mergeCell ref="H59:I59"/>
    <mergeCell ref="A56:C56"/>
    <mergeCell ref="D56:E56"/>
    <mergeCell ref="F56:G56"/>
    <mergeCell ref="H56:I56"/>
    <mergeCell ref="A57:C57"/>
    <mergeCell ref="D57:E57"/>
    <mergeCell ref="F57:G57"/>
    <mergeCell ref="H57:I57"/>
    <mergeCell ref="A54:C54"/>
    <mergeCell ref="D54:E54"/>
    <mergeCell ref="F54:G54"/>
    <mergeCell ref="H54:I54"/>
    <mergeCell ref="A55:C55"/>
    <mergeCell ref="D55:E55"/>
    <mergeCell ref="F55:G55"/>
    <mergeCell ref="H55:I55"/>
    <mergeCell ref="A52:C52"/>
    <mergeCell ref="D52:E52"/>
    <mergeCell ref="F52:G52"/>
    <mergeCell ref="H52:I52"/>
    <mergeCell ref="A53:C53"/>
    <mergeCell ref="D53:E53"/>
    <mergeCell ref="F53:G53"/>
    <mergeCell ref="H53:I53"/>
    <mergeCell ref="A50:C50"/>
    <mergeCell ref="D50:E50"/>
    <mergeCell ref="F50:G50"/>
    <mergeCell ref="H50:I50"/>
    <mergeCell ref="A51:C51"/>
    <mergeCell ref="D51:E51"/>
    <mergeCell ref="F51:G51"/>
    <mergeCell ref="H51:I51"/>
    <mergeCell ref="A48:C48"/>
    <mergeCell ref="D48:E48"/>
    <mergeCell ref="F48:G48"/>
    <mergeCell ref="H48:I48"/>
    <mergeCell ref="A49:C49"/>
    <mergeCell ref="D49:E49"/>
    <mergeCell ref="F49:G49"/>
    <mergeCell ref="H49:I49"/>
    <mergeCell ref="A46:C46"/>
    <mergeCell ref="D46:E46"/>
    <mergeCell ref="F46:G46"/>
    <mergeCell ref="H46:I46"/>
    <mergeCell ref="A47:C47"/>
    <mergeCell ref="D47:E47"/>
    <mergeCell ref="F47:G47"/>
    <mergeCell ref="H47:I47"/>
    <mergeCell ref="A43:C43"/>
    <mergeCell ref="A44:I44"/>
    <mergeCell ref="A45:C45"/>
    <mergeCell ref="D45:I45"/>
    <mergeCell ref="D43:I43"/>
    <mergeCell ref="A41:C41"/>
    <mergeCell ref="A42:C42"/>
    <mergeCell ref="D41:I41"/>
    <mergeCell ref="D42:I42"/>
    <mergeCell ref="A39:C39"/>
    <mergeCell ref="A40:C40"/>
    <mergeCell ref="D39:I39"/>
    <mergeCell ref="D40:I40"/>
    <mergeCell ref="A37:C37"/>
    <mergeCell ref="A38:C38"/>
    <mergeCell ref="D37:I37"/>
    <mergeCell ref="D38:I38"/>
    <mergeCell ref="A35:C35"/>
    <mergeCell ref="D35:E35"/>
    <mergeCell ref="F35:G35"/>
    <mergeCell ref="H35:I35"/>
    <mergeCell ref="A36:C36"/>
    <mergeCell ref="D36:I36"/>
    <mergeCell ref="A33:C33"/>
    <mergeCell ref="D33:E33"/>
    <mergeCell ref="F33:G33"/>
    <mergeCell ref="H33:I33"/>
    <mergeCell ref="A34:C34"/>
    <mergeCell ref="D34:E34"/>
    <mergeCell ref="F34:G34"/>
    <mergeCell ref="H34:I34"/>
    <mergeCell ref="A31:C31"/>
    <mergeCell ref="D31:E31"/>
    <mergeCell ref="F31:G31"/>
    <mergeCell ref="H31:I31"/>
    <mergeCell ref="A32:C32"/>
    <mergeCell ref="D32:E32"/>
    <mergeCell ref="F32:G32"/>
    <mergeCell ref="H32:I32"/>
    <mergeCell ref="A29:C29"/>
    <mergeCell ref="D29:E29"/>
    <mergeCell ref="F29:G29"/>
    <mergeCell ref="H29:I29"/>
    <mergeCell ref="A30:C30"/>
    <mergeCell ref="D30:E30"/>
    <mergeCell ref="F30:G30"/>
    <mergeCell ref="H30:I30"/>
    <mergeCell ref="A27:C27"/>
    <mergeCell ref="D27:E27"/>
    <mergeCell ref="F27:G27"/>
    <mergeCell ref="H27:I27"/>
    <mergeCell ref="A28:C28"/>
    <mergeCell ref="D28:E28"/>
    <mergeCell ref="F28:G28"/>
    <mergeCell ref="H28:I28"/>
    <mergeCell ref="A25:C25"/>
    <mergeCell ref="D25:E25"/>
    <mergeCell ref="F25:G25"/>
    <mergeCell ref="H25:I25"/>
    <mergeCell ref="A26:C26"/>
    <mergeCell ref="D26:E26"/>
    <mergeCell ref="F26:G26"/>
    <mergeCell ref="H26:I26"/>
    <mergeCell ref="A23:C23"/>
    <mergeCell ref="D23:E23"/>
    <mergeCell ref="F23:G23"/>
    <mergeCell ref="H23:I23"/>
    <mergeCell ref="A24:C24"/>
    <mergeCell ref="D24:E24"/>
    <mergeCell ref="F24:G24"/>
    <mergeCell ref="H24:I24"/>
    <mergeCell ref="A21:C21"/>
    <mergeCell ref="D21:E21"/>
    <mergeCell ref="F21:G21"/>
    <mergeCell ref="H21:I21"/>
    <mergeCell ref="A22:C22"/>
    <mergeCell ref="D22:E22"/>
    <mergeCell ref="F22:G22"/>
    <mergeCell ref="H22:I22"/>
    <mergeCell ref="A19:C19"/>
    <mergeCell ref="D19:E19"/>
    <mergeCell ref="F19:G19"/>
    <mergeCell ref="H19:I19"/>
    <mergeCell ref="A20:C20"/>
    <mergeCell ref="D20:E20"/>
    <mergeCell ref="F20:G20"/>
    <mergeCell ref="H20:I20"/>
    <mergeCell ref="A17:C17"/>
    <mergeCell ref="D17:E17"/>
    <mergeCell ref="F17:G17"/>
    <mergeCell ref="H17:I17"/>
    <mergeCell ref="A18:C18"/>
    <mergeCell ref="D18:E18"/>
    <mergeCell ref="F18:G18"/>
    <mergeCell ref="H18:I18"/>
    <mergeCell ref="A15:C15"/>
    <mergeCell ref="D15:E15"/>
    <mergeCell ref="F15:G15"/>
    <mergeCell ref="H15:I15"/>
    <mergeCell ref="A16:C16"/>
    <mergeCell ref="D16:E16"/>
    <mergeCell ref="F16:G16"/>
    <mergeCell ref="H16:I16"/>
    <mergeCell ref="A9:I9"/>
    <mergeCell ref="A10:A12"/>
    <mergeCell ref="B10:I12"/>
    <mergeCell ref="A13:I13"/>
    <mergeCell ref="A14:C14"/>
    <mergeCell ref="D14:I14"/>
    <mergeCell ref="A3:I3"/>
    <mergeCell ref="A4:I4"/>
    <mergeCell ref="A5:I5"/>
    <mergeCell ref="A6:I6"/>
    <mergeCell ref="A7:A8"/>
    <mergeCell ref="B7:D8"/>
    <mergeCell ref="E7:F8"/>
    <mergeCell ref="G7:I8"/>
  </mergeCells>
  <phoneticPr fontId="1" type="noConversion"/>
  <pageMargins left="0.62992125984251968" right="0.23622047244094491" top="0.74803149606299213" bottom="0.74803149606299213" header="0.31496062992125984" footer="0.31496062992125984"/>
  <pageSetup paperSize="9" scale="92" fitToHeight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91" r:id="rId4" name="ComboBox2">
          <controlPr defaultSize="0" print="0" autoLine="0" r:id="rId5">
            <anchor>
              <from>
                <xdr:col>3</xdr:col>
                <xdr:colOff>447675</xdr:colOff>
                <xdr:row>1</xdr:row>
                <xdr:rowOff>38100</xdr:rowOff>
              </from>
              <to>
                <xdr:col>4</xdr:col>
                <xdr:colOff>342900</xdr:colOff>
                <xdr:row>1</xdr:row>
                <xdr:rowOff>285750</xdr:rowOff>
              </to>
            </anchor>
          </controlPr>
        </control>
      </mc:Choice>
      <mc:Fallback>
        <control shapeId="20591" r:id="rId4" name="ComboBox2"/>
      </mc:Fallback>
    </mc:AlternateContent>
    <mc:AlternateContent xmlns:mc="http://schemas.openxmlformats.org/markup-compatibility/2006">
      <mc:Choice Requires="x14">
        <control shapeId="20485" r:id="rId6" name="ComboBox1">
          <controlPr defaultSize="0" print="0" autoLine="0" autoPict="0" r:id="rId7">
            <anchor>
              <from>
                <xdr:col>3</xdr:col>
                <xdr:colOff>447675</xdr:colOff>
                <xdr:row>0</xdr:row>
                <xdr:rowOff>57150</xdr:rowOff>
              </from>
              <to>
                <xdr:col>5</xdr:col>
                <xdr:colOff>514350</xdr:colOff>
                <xdr:row>0</xdr:row>
                <xdr:rowOff>304800</xdr:rowOff>
              </to>
            </anchor>
          </controlPr>
        </control>
      </mc:Choice>
      <mc:Fallback>
        <control shapeId="20485" r:id="rId6" name="ComboBox1"/>
      </mc:Fallback>
    </mc:AlternateContent>
    <mc:AlternateContent xmlns:mc="http://schemas.openxmlformats.org/markup-compatibility/2006">
      <mc:Choice Requires="x14">
        <control shapeId="20601" r:id="rId8" name="OptionButton1">
          <controlPr defaultSize="0" print="0" autoLine="0" altText="均匀样品" r:id="rId9">
            <anchor>
              <from>
                <xdr:col>4</xdr:col>
                <xdr:colOff>476250</xdr:colOff>
                <xdr:row>1</xdr:row>
                <xdr:rowOff>47625</xdr:rowOff>
              </from>
              <to>
                <xdr:col>5</xdr:col>
                <xdr:colOff>285750</xdr:colOff>
                <xdr:row>1</xdr:row>
                <xdr:rowOff>295275</xdr:rowOff>
              </to>
            </anchor>
          </controlPr>
        </control>
      </mc:Choice>
      <mc:Fallback>
        <control shapeId="20601" r:id="rId8" name="OptionButton1"/>
      </mc:Fallback>
    </mc:AlternateContent>
    <mc:AlternateContent xmlns:mc="http://schemas.openxmlformats.org/markup-compatibility/2006">
      <mc:Choice Requires="x14">
        <control shapeId="20602" r:id="rId10" name="OptionButton2">
          <controlPr defaultSize="0" print="0" autoLine="0" altText="非均匀样品" r:id="rId11">
            <anchor>
              <from>
                <xdr:col>5</xdr:col>
                <xdr:colOff>276225</xdr:colOff>
                <xdr:row>1</xdr:row>
                <xdr:rowOff>47625</xdr:rowOff>
              </from>
              <to>
                <xdr:col>6</xdr:col>
                <xdr:colOff>685800</xdr:colOff>
                <xdr:row>1</xdr:row>
                <xdr:rowOff>295275</xdr:rowOff>
              </to>
            </anchor>
          </controlPr>
        </control>
      </mc:Choice>
      <mc:Fallback>
        <control shapeId="20602" r:id="rId10" name="OptionButton2"/>
      </mc:Fallback>
    </mc:AlternateContent>
    <mc:AlternateContent xmlns:mc="http://schemas.openxmlformats.org/markup-compatibility/2006">
      <mc:Choice Requires="x14">
        <control shapeId="20528" r:id="rId12" name="Button 48">
          <controlPr defaultSize="0" print="0" autoFill="0" autoPict="0" macro="[0]!生成报告">
            <anchor>
              <from>
                <xdr:col>7</xdr:col>
                <xdr:colOff>28575</xdr:colOff>
                <xdr:row>0</xdr:row>
                <xdr:rowOff>38100</xdr:rowOff>
              </from>
              <to>
                <xdr:col>8</xdr:col>
                <xdr:colOff>733425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3" r:id="rId13" name="Button 53">
          <controlPr defaultSize="0" print="0" autoFill="0" autoPict="0" macro="[0]!清除报告">
            <anchor>
              <from>
                <xdr:col>8</xdr:col>
                <xdr:colOff>1657350</xdr:colOff>
                <xdr:row>0</xdr:row>
                <xdr:rowOff>38100</xdr:rowOff>
              </from>
              <to>
                <xdr:col>10</xdr:col>
                <xdr:colOff>247650</xdr:colOff>
                <xdr:row>0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4" r:id="rId14" name="Button 54">
          <controlPr defaultSize="0" print="0" autoFill="0" autoPict="0" macro="[0]!打印报告">
            <anchor>
              <from>
                <xdr:col>8</xdr:col>
                <xdr:colOff>1647825</xdr:colOff>
                <xdr:row>1</xdr:row>
                <xdr:rowOff>47625</xdr:rowOff>
              </from>
              <to>
                <xdr:col>10</xdr:col>
                <xdr:colOff>247650</xdr:colOff>
                <xdr:row>1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0" r:id="rId15" name="Button 110">
          <controlPr defaultSize="0" print="0" autoFill="0" autoPict="0" macro="[0]!显示隐藏细节">
            <anchor>
              <from>
                <xdr:col>7</xdr:col>
                <xdr:colOff>28575</xdr:colOff>
                <xdr:row>1</xdr:row>
                <xdr:rowOff>47625</xdr:rowOff>
              </from>
              <to>
                <xdr:col>8</xdr:col>
                <xdr:colOff>733425</xdr:colOff>
                <xdr:row>1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3" r:id="rId16" name="Check Box 1">
          <controlPr defaultSize="0" autoFill="0" autoLine="0" autoPict="0">
            <anchor moveWithCells="1">
              <from>
                <xdr:col>1</xdr:col>
                <xdr:colOff>209550</xdr:colOff>
                <xdr:row>10</xdr:row>
                <xdr:rowOff>0</xdr:rowOff>
              </from>
              <to>
                <xdr:col>3</xdr:col>
                <xdr:colOff>219075</xdr:colOff>
                <xdr:row>11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04" r:id="rId17" name="Check Box 2">
          <controlPr defaultSize="0" autoFill="0" autoLine="0" autoPict="0">
            <anchor moveWithCells="1">
              <from>
                <xdr:col>3</xdr:col>
                <xdr:colOff>571500</xdr:colOff>
                <xdr:row>10</xdr:row>
                <xdr:rowOff>0</xdr:rowOff>
              </from>
              <to>
                <xdr:col>4</xdr:col>
                <xdr:colOff>1104900</xdr:colOff>
                <xdr:row>11</xdr:row>
                <xdr:rowOff>114300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AFC95-DA56-4EC2-AD86-DEFAC84FE28B}">
  <sheetPr codeName="Sheet13"/>
  <dimension ref="A1:I44"/>
  <sheetViews>
    <sheetView showGridLines="0" topLeftCell="A28" workbookViewId="0">
      <selection activeCell="A32" sqref="A32:C32"/>
    </sheetView>
  </sheetViews>
  <sheetFormatPr defaultRowHeight="14.25" x14ac:dyDescent="0.2"/>
  <cols>
    <col min="1" max="1" width="8.375" customWidth="1"/>
    <col min="2" max="2" width="8.75" customWidth="1"/>
    <col min="3" max="3" width="6.625" customWidth="1"/>
    <col min="4" max="4" width="8.5" customWidth="1"/>
    <col min="5" max="5" width="14.875" customWidth="1"/>
    <col min="6" max="6" width="8.875" customWidth="1"/>
    <col min="7" max="7" width="15" customWidth="1"/>
    <col min="8" max="8" width="3" customWidth="1"/>
    <col min="9" max="9" width="21.875" customWidth="1"/>
  </cols>
  <sheetData>
    <row r="1" spans="1:9" ht="60" customHeight="1" x14ac:dyDescent="0.2">
      <c r="A1" s="87"/>
      <c r="B1" s="87"/>
      <c r="C1" s="87"/>
      <c r="D1" s="87"/>
      <c r="E1" s="87"/>
      <c r="F1" s="87"/>
      <c r="G1" s="87"/>
      <c r="H1" s="87"/>
      <c r="I1" s="87"/>
    </row>
    <row r="2" spans="1:9" ht="15.75" customHeight="1" x14ac:dyDescent="0.2">
      <c r="A2" s="88" t="s">
        <v>55</v>
      </c>
      <c r="B2" s="88"/>
      <c r="C2" s="88"/>
      <c r="D2" s="88"/>
      <c r="E2" s="88"/>
      <c r="F2" s="88"/>
      <c r="G2" s="88"/>
      <c r="H2" s="88"/>
      <c r="I2" s="88"/>
    </row>
    <row r="3" spans="1:9" ht="12.75" customHeight="1" x14ac:dyDescent="0.2">
      <c r="A3" s="89" t="s">
        <v>56</v>
      </c>
      <c r="B3" s="90"/>
      <c r="C3" s="90"/>
      <c r="D3" s="90"/>
      <c r="E3" s="90"/>
      <c r="F3" s="90"/>
      <c r="G3" s="90"/>
      <c r="H3" s="90"/>
      <c r="I3" s="90"/>
    </row>
    <row r="4" spans="1:9" ht="8.25" customHeight="1" thickBot="1" x14ac:dyDescent="0.25">
      <c r="A4" s="91"/>
      <c r="B4" s="91"/>
      <c r="C4" s="91"/>
      <c r="D4" s="91"/>
      <c r="E4" s="91"/>
      <c r="F4" s="91"/>
      <c r="G4" s="91"/>
      <c r="H4" s="91"/>
      <c r="I4" s="91"/>
    </row>
    <row r="5" spans="1:9" ht="12.75" customHeight="1" x14ac:dyDescent="0.2">
      <c r="A5" s="65" t="s">
        <v>57</v>
      </c>
      <c r="B5" s="60" t="s">
        <v>58</v>
      </c>
      <c r="C5" s="60"/>
      <c r="D5" s="60"/>
      <c r="E5" s="60" t="s">
        <v>59</v>
      </c>
      <c r="F5" s="60"/>
      <c r="G5" s="60" t="s">
        <v>60</v>
      </c>
      <c r="H5" s="60"/>
      <c r="I5" s="63"/>
    </row>
    <row r="6" spans="1:9" ht="12.75" customHeight="1" thickBot="1" x14ac:dyDescent="0.25">
      <c r="A6" s="66"/>
      <c r="B6" s="62"/>
      <c r="C6" s="62"/>
      <c r="D6" s="62"/>
      <c r="E6" s="62"/>
      <c r="F6" s="62"/>
      <c r="G6" s="62"/>
      <c r="H6" s="62"/>
      <c r="I6" s="64"/>
    </row>
    <row r="7" spans="1:9" ht="6.75" customHeight="1" thickBot="1" x14ac:dyDescent="0.25">
      <c r="A7" s="92"/>
      <c r="B7" s="92"/>
      <c r="C7" s="92"/>
      <c r="D7" s="92"/>
      <c r="E7" s="92"/>
      <c r="F7" s="92"/>
      <c r="G7" s="92"/>
      <c r="H7" s="92"/>
      <c r="I7" s="92"/>
    </row>
    <row r="8" spans="1:9" ht="12.75" customHeight="1" x14ac:dyDescent="0.2">
      <c r="A8" s="59" t="s">
        <v>61</v>
      </c>
      <c r="B8" s="47"/>
      <c r="C8" s="60"/>
      <c r="D8" s="60"/>
      <c r="E8" s="60"/>
      <c r="F8" s="60"/>
      <c r="G8" s="60"/>
      <c r="H8" s="60"/>
      <c r="I8" s="63"/>
    </row>
    <row r="9" spans="1:9" ht="12.75" customHeight="1" x14ac:dyDescent="0.2">
      <c r="A9" s="76"/>
      <c r="B9" s="77"/>
      <c r="C9" s="77"/>
      <c r="D9" s="77"/>
      <c r="E9" s="77"/>
      <c r="F9" s="77"/>
      <c r="G9" s="77"/>
      <c r="H9" s="77"/>
      <c r="I9" s="95"/>
    </row>
    <row r="10" spans="1:9" ht="21.75" customHeight="1" thickBot="1" x14ac:dyDescent="0.25">
      <c r="A10" s="61"/>
      <c r="B10" s="62"/>
      <c r="C10" s="62"/>
      <c r="D10" s="62"/>
      <c r="E10" s="62"/>
      <c r="F10" s="62"/>
      <c r="G10" s="62"/>
      <c r="H10" s="62"/>
      <c r="I10" s="64"/>
    </row>
    <row r="11" spans="1:9" ht="7.5" customHeight="1" thickBot="1" x14ac:dyDescent="0.25">
      <c r="A11" s="96"/>
      <c r="B11" s="97"/>
      <c r="C11" s="97"/>
      <c r="D11" s="97"/>
      <c r="E11" s="97"/>
      <c r="F11" s="97"/>
      <c r="G11" s="97"/>
      <c r="H11" s="97"/>
      <c r="I11" s="98"/>
    </row>
    <row r="12" spans="1:9" ht="17.45" customHeight="1" thickBot="1" x14ac:dyDescent="0.25">
      <c r="A12" s="80"/>
      <c r="B12" s="81"/>
      <c r="C12" s="81"/>
      <c r="D12" s="81" t="s">
        <v>64</v>
      </c>
      <c r="E12" s="81"/>
      <c r="F12" s="81"/>
      <c r="G12" s="81"/>
      <c r="H12" s="81"/>
      <c r="I12" s="82"/>
    </row>
    <row r="13" spans="1:9" ht="18.75" customHeight="1" x14ac:dyDescent="0.2">
      <c r="A13" s="100" t="s">
        <v>62</v>
      </c>
      <c r="B13" s="101"/>
      <c r="C13" s="102"/>
      <c r="D13" s="103">
        <v>7</v>
      </c>
      <c r="E13" s="104"/>
      <c r="F13" s="103">
        <v>8</v>
      </c>
      <c r="G13" s="104"/>
      <c r="H13" s="103">
        <v>9</v>
      </c>
      <c r="I13" s="82"/>
    </row>
    <row r="14" spans="1:9" ht="39" customHeight="1" thickBot="1" x14ac:dyDescent="0.25">
      <c r="A14" s="61" t="s">
        <v>63</v>
      </c>
      <c r="B14" s="62"/>
      <c r="C14" s="62"/>
      <c r="D14" s="105"/>
      <c r="E14" s="106"/>
      <c r="F14" s="105"/>
      <c r="G14" s="106"/>
      <c r="H14" s="105"/>
      <c r="I14" s="107"/>
    </row>
    <row r="15" spans="1:9" ht="19.350000000000001" customHeight="1" x14ac:dyDescent="0.2">
      <c r="A15" s="76" t="s">
        <v>65</v>
      </c>
      <c r="B15" s="77"/>
      <c r="C15" s="77"/>
      <c r="D15" s="83"/>
      <c r="E15" s="83"/>
      <c r="F15" s="83"/>
      <c r="G15" s="83"/>
      <c r="H15" s="83"/>
      <c r="I15" s="99"/>
    </row>
    <row r="16" spans="1:9" ht="19.350000000000001" customHeight="1" x14ac:dyDescent="0.2">
      <c r="A16" s="76" t="s">
        <v>66</v>
      </c>
      <c r="B16" s="77"/>
      <c r="C16" s="77"/>
      <c r="D16" s="93"/>
      <c r="E16" s="93"/>
      <c r="F16" s="93"/>
      <c r="G16" s="93"/>
      <c r="H16" s="93"/>
      <c r="I16" s="94"/>
    </row>
    <row r="17" spans="1:9" ht="19.350000000000001" customHeight="1" x14ac:dyDescent="0.2">
      <c r="A17" s="76" t="s">
        <v>67</v>
      </c>
      <c r="B17" s="77"/>
      <c r="C17" s="77"/>
      <c r="D17" s="93"/>
      <c r="E17" s="93"/>
      <c r="F17" s="93"/>
      <c r="G17" s="93"/>
      <c r="H17" s="93"/>
      <c r="I17" s="94"/>
    </row>
    <row r="18" spans="1:9" ht="19.350000000000001" customHeight="1" x14ac:dyDescent="0.2">
      <c r="A18" s="76" t="s">
        <v>68</v>
      </c>
      <c r="B18" s="77"/>
      <c r="C18" s="77"/>
      <c r="D18" s="93"/>
      <c r="E18" s="93"/>
      <c r="F18" s="93"/>
      <c r="G18" s="93"/>
      <c r="H18" s="93"/>
      <c r="I18" s="94"/>
    </row>
    <row r="19" spans="1:9" ht="19.350000000000001" customHeight="1" x14ac:dyDescent="0.2">
      <c r="A19" s="76" t="s">
        <v>69</v>
      </c>
      <c r="B19" s="77"/>
      <c r="C19" s="77"/>
      <c r="D19" s="93"/>
      <c r="E19" s="93"/>
      <c r="F19" s="93"/>
      <c r="G19" s="93"/>
      <c r="H19" s="93"/>
      <c r="I19" s="94"/>
    </row>
    <row r="20" spans="1:9" ht="19.350000000000001" customHeight="1" x14ac:dyDescent="0.2">
      <c r="A20" s="76" t="s">
        <v>70</v>
      </c>
      <c r="B20" s="77"/>
      <c r="C20" s="77"/>
      <c r="D20" s="74"/>
      <c r="E20" s="74"/>
      <c r="F20" s="74"/>
      <c r="G20" s="74"/>
      <c r="H20" s="74"/>
      <c r="I20" s="75"/>
    </row>
    <row r="21" spans="1:9" ht="19.350000000000001" customHeight="1" x14ac:dyDescent="0.2">
      <c r="A21" s="84" t="s">
        <v>141</v>
      </c>
      <c r="B21" s="85"/>
      <c r="C21" s="86"/>
      <c r="D21" s="74"/>
      <c r="E21" s="74"/>
      <c r="F21" s="74"/>
      <c r="G21" s="74"/>
      <c r="H21" s="74"/>
      <c r="I21" s="75"/>
    </row>
    <row r="22" spans="1:9" ht="19.350000000000001" customHeight="1" thickBot="1" x14ac:dyDescent="0.25">
      <c r="A22" s="61" t="s">
        <v>71</v>
      </c>
      <c r="B22" s="62"/>
      <c r="C22" s="62"/>
      <c r="D22" s="72"/>
      <c r="E22" s="72"/>
      <c r="F22" s="72"/>
      <c r="G22" s="72"/>
      <c r="H22" s="72"/>
      <c r="I22" s="73"/>
    </row>
    <row r="23" spans="1:9" ht="5.0999999999999996" customHeight="1" thickBot="1" x14ac:dyDescent="0.25">
      <c r="A23" s="58"/>
      <c r="B23" s="58"/>
      <c r="C23" s="58"/>
      <c r="D23" s="58"/>
      <c r="E23" s="58"/>
      <c r="F23" s="58"/>
      <c r="G23" s="58"/>
      <c r="H23" s="58"/>
      <c r="I23" s="58"/>
    </row>
    <row r="24" spans="1:9" ht="18" customHeight="1" thickBot="1" x14ac:dyDescent="0.25">
      <c r="A24" s="80"/>
      <c r="B24" s="81"/>
      <c r="C24" s="81"/>
      <c r="D24" s="81" t="s">
        <v>72</v>
      </c>
      <c r="E24" s="81"/>
      <c r="F24" s="81"/>
      <c r="G24" s="81"/>
      <c r="H24" s="81"/>
      <c r="I24" s="82"/>
    </row>
    <row r="25" spans="1:9" ht="18.75" customHeight="1" x14ac:dyDescent="0.2">
      <c r="A25" s="100" t="s">
        <v>62</v>
      </c>
      <c r="B25" s="101"/>
      <c r="C25" s="102"/>
      <c r="D25" s="103">
        <v>7</v>
      </c>
      <c r="E25" s="104"/>
      <c r="F25" s="103">
        <v>8</v>
      </c>
      <c r="G25" s="104"/>
      <c r="H25" s="103">
        <v>9</v>
      </c>
      <c r="I25" s="82"/>
    </row>
    <row r="26" spans="1:9" ht="39" customHeight="1" thickBot="1" x14ac:dyDescent="0.25">
      <c r="A26" s="61" t="s">
        <v>63</v>
      </c>
      <c r="B26" s="62"/>
      <c r="C26" s="62"/>
      <c r="D26" s="105"/>
      <c r="E26" s="106"/>
      <c r="F26" s="105"/>
      <c r="G26" s="106"/>
      <c r="H26" s="105"/>
      <c r="I26" s="107"/>
    </row>
    <row r="27" spans="1:9" ht="19.350000000000001" customHeight="1" x14ac:dyDescent="0.2">
      <c r="A27" s="76" t="s">
        <v>65</v>
      </c>
      <c r="B27" s="77"/>
      <c r="C27" s="77"/>
      <c r="D27" s="83"/>
      <c r="E27" s="83"/>
      <c r="F27" s="83"/>
      <c r="G27" s="83"/>
      <c r="H27" s="83"/>
      <c r="I27" s="99"/>
    </row>
    <row r="28" spans="1:9" ht="19.350000000000001" customHeight="1" x14ac:dyDescent="0.2">
      <c r="A28" s="76" t="s">
        <v>66</v>
      </c>
      <c r="B28" s="77"/>
      <c r="C28" s="77"/>
      <c r="D28" s="78"/>
      <c r="E28" s="78"/>
      <c r="F28" s="78"/>
      <c r="G28" s="78"/>
      <c r="H28" s="78"/>
      <c r="I28" s="79"/>
    </row>
    <row r="29" spans="1:9" ht="19.350000000000001" customHeight="1" x14ac:dyDescent="0.2">
      <c r="A29" s="76" t="s">
        <v>67</v>
      </c>
      <c r="B29" s="77"/>
      <c r="C29" s="77"/>
      <c r="D29" s="78"/>
      <c r="E29" s="78"/>
      <c r="F29" s="78"/>
      <c r="G29" s="78"/>
      <c r="H29" s="78"/>
      <c r="I29" s="79"/>
    </row>
    <row r="30" spans="1:9" ht="19.350000000000001" customHeight="1" x14ac:dyDescent="0.2">
      <c r="A30" s="76" t="s">
        <v>68</v>
      </c>
      <c r="B30" s="77"/>
      <c r="C30" s="77"/>
      <c r="D30" s="78"/>
      <c r="E30" s="78"/>
      <c r="F30" s="78"/>
      <c r="G30" s="78"/>
      <c r="H30" s="78"/>
      <c r="I30" s="79"/>
    </row>
    <row r="31" spans="1:9" ht="19.350000000000001" customHeight="1" x14ac:dyDescent="0.2">
      <c r="A31" s="76" t="s">
        <v>69</v>
      </c>
      <c r="B31" s="77"/>
      <c r="C31" s="77"/>
      <c r="D31" s="109"/>
      <c r="E31" s="78"/>
      <c r="F31" s="78"/>
      <c r="G31" s="78"/>
      <c r="H31" s="78"/>
      <c r="I31" s="79"/>
    </row>
    <row r="32" spans="1:9" ht="19.350000000000001" customHeight="1" x14ac:dyDescent="0.2">
      <c r="A32" s="76" t="s">
        <v>70</v>
      </c>
      <c r="B32" s="77"/>
      <c r="C32" s="77"/>
      <c r="D32" s="108"/>
      <c r="E32" s="74"/>
      <c r="F32" s="74"/>
      <c r="G32" s="74"/>
      <c r="H32" s="74"/>
      <c r="I32" s="75"/>
    </row>
    <row r="33" spans="1:9" ht="19.350000000000001" customHeight="1" x14ac:dyDescent="0.2">
      <c r="A33" s="84" t="s">
        <v>141</v>
      </c>
      <c r="B33" s="85"/>
      <c r="C33" s="86"/>
      <c r="D33" s="108"/>
      <c r="E33" s="74"/>
      <c r="F33" s="74"/>
      <c r="G33" s="74"/>
      <c r="H33" s="74"/>
      <c r="I33" s="75"/>
    </row>
    <row r="34" spans="1:9" ht="19.350000000000001" customHeight="1" thickBot="1" x14ac:dyDescent="0.25">
      <c r="A34" s="61" t="s">
        <v>71</v>
      </c>
      <c r="B34" s="62"/>
      <c r="C34" s="62"/>
      <c r="D34" s="72"/>
      <c r="E34" s="72"/>
      <c r="F34" s="72"/>
      <c r="G34" s="72"/>
      <c r="H34" s="72"/>
      <c r="I34" s="73"/>
    </row>
    <row r="35" spans="1:9" ht="8.25" customHeight="1" thickBot="1" x14ac:dyDescent="0.25">
      <c r="A35" s="58"/>
      <c r="B35" s="58"/>
      <c r="C35" s="58"/>
      <c r="D35" s="58"/>
      <c r="E35" s="58"/>
      <c r="F35" s="58"/>
      <c r="G35" s="58"/>
      <c r="H35" s="58"/>
      <c r="I35" s="58"/>
    </row>
    <row r="36" spans="1:9" ht="12.75" customHeight="1" x14ac:dyDescent="0.2">
      <c r="A36" s="59" t="s">
        <v>73</v>
      </c>
      <c r="B36" s="60"/>
      <c r="C36" s="60" t="s">
        <v>74</v>
      </c>
      <c r="D36" s="60"/>
      <c r="E36" s="60"/>
      <c r="F36" s="60"/>
      <c r="G36" s="60"/>
      <c r="H36" s="60"/>
      <c r="I36" s="63"/>
    </row>
    <row r="37" spans="1:9" ht="21" customHeight="1" thickBot="1" x14ac:dyDescent="0.25">
      <c r="A37" s="61"/>
      <c r="B37" s="62"/>
      <c r="C37" s="62"/>
      <c r="D37" s="62"/>
      <c r="E37" s="62"/>
      <c r="F37" s="62"/>
      <c r="G37" s="62"/>
      <c r="H37" s="62"/>
      <c r="I37" s="64"/>
    </row>
    <row r="38" spans="1:9" ht="22.35" customHeight="1" x14ac:dyDescent="0.2">
      <c r="A38" s="65" t="s">
        <v>75</v>
      </c>
      <c r="B38" s="67" t="s">
        <v>76</v>
      </c>
      <c r="C38" s="68"/>
      <c r="D38" s="68"/>
      <c r="E38" s="68"/>
      <c r="F38" s="68"/>
      <c r="G38" s="68"/>
      <c r="H38" s="68"/>
      <c r="I38" s="69"/>
    </row>
    <row r="39" spans="1:9" ht="44.45" customHeight="1" thickBot="1" x14ac:dyDescent="0.25">
      <c r="A39" s="66"/>
      <c r="B39" s="70"/>
      <c r="C39" s="70"/>
      <c r="D39" s="70"/>
      <c r="E39" s="70"/>
      <c r="F39" s="70"/>
      <c r="G39" s="70"/>
      <c r="H39" s="70"/>
      <c r="I39" s="71"/>
    </row>
    <row r="40" spans="1:9" ht="12.75" customHeight="1" x14ac:dyDescent="0.2">
      <c r="A40" s="46" t="s">
        <v>77</v>
      </c>
      <c r="B40" s="47"/>
      <c r="C40" s="47"/>
      <c r="D40" s="47"/>
      <c r="E40" s="47"/>
      <c r="F40" s="47"/>
      <c r="G40" s="47"/>
      <c r="H40" s="47"/>
      <c r="I40" s="48"/>
    </row>
    <row r="41" spans="1:9" ht="12.75" customHeight="1" x14ac:dyDescent="0.2">
      <c r="A41" s="49"/>
      <c r="B41" s="50"/>
      <c r="C41" s="50"/>
      <c r="D41" s="50"/>
      <c r="E41" s="50"/>
      <c r="F41" s="50"/>
      <c r="G41" s="50"/>
      <c r="H41" s="50"/>
      <c r="I41" s="51"/>
    </row>
    <row r="42" spans="1:9" ht="12.75" customHeight="1" x14ac:dyDescent="0.2">
      <c r="A42" s="49"/>
      <c r="B42" s="50"/>
      <c r="C42" s="50"/>
      <c r="D42" s="50"/>
      <c r="E42" s="50"/>
      <c r="F42" s="50"/>
      <c r="G42" s="50"/>
      <c r="H42" s="50"/>
      <c r="I42" s="51"/>
    </row>
    <row r="43" spans="1:9" ht="12.75" customHeight="1" x14ac:dyDescent="0.2">
      <c r="A43" s="52"/>
      <c r="B43" s="53"/>
      <c r="C43" s="53"/>
      <c r="D43" s="53"/>
      <c r="E43" s="53"/>
      <c r="F43" s="53"/>
      <c r="G43" s="53"/>
      <c r="H43" s="53"/>
      <c r="I43" s="54"/>
    </row>
    <row r="44" spans="1:9" ht="14.1" customHeight="1" thickBot="1" x14ac:dyDescent="0.25">
      <c r="A44" s="55"/>
      <c r="B44" s="56"/>
      <c r="C44" s="56"/>
      <c r="D44" s="56"/>
      <c r="E44" s="56"/>
      <c r="F44" s="56"/>
      <c r="G44" s="56"/>
      <c r="H44" s="56"/>
      <c r="I44" s="57"/>
    </row>
  </sheetData>
  <mergeCells count="103">
    <mergeCell ref="D33:E33"/>
    <mergeCell ref="A29:C29"/>
    <mergeCell ref="D29:E29"/>
    <mergeCell ref="F29:G29"/>
    <mergeCell ref="H29:I29"/>
    <mergeCell ref="A30:C30"/>
    <mergeCell ref="A25:C25"/>
    <mergeCell ref="D25:E25"/>
    <mergeCell ref="F25:G25"/>
    <mergeCell ref="H25:I25"/>
    <mergeCell ref="A26:C26"/>
    <mergeCell ref="D26:E26"/>
    <mergeCell ref="F26:G26"/>
    <mergeCell ref="H26:I26"/>
    <mergeCell ref="F32:G32"/>
    <mergeCell ref="H32:I32"/>
    <mergeCell ref="D30:E30"/>
    <mergeCell ref="F30:G30"/>
    <mergeCell ref="H30:I30"/>
    <mergeCell ref="H31:I31"/>
    <mergeCell ref="A32:C32"/>
    <mergeCell ref="D32:E32"/>
    <mergeCell ref="A31:C31"/>
    <mergeCell ref="D31:E31"/>
    <mergeCell ref="F31:G31"/>
    <mergeCell ref="A13:C13"/>
    <mergeCell ref="D13:E13"/>
    <mergeCell ref="F13:G13"/>
    <mergeCell ref="H13:I13"/>
    <mergeCell ref="A14:C14"/>
    <mergeCell ref="D14:E14"/>
    <mergeCell ref="F14:G14"/>
    <mergeCell ref="H14:I14"/>
    <mergeCell ref="H27:I27"/>
    <mergeCell ref="A22:C22"/>
    <mergeCell ref="D22:E22"/>
    <mergeCell ref="F22:G22"/>
    <mergeCell ref="A21:C21"/>
    <mergeCell ref="A18:C18"/>
    <mergeCell ref="D18:E18"/>
    <mergeCell ref="F18:G18"/>
    <mergeCell ref="H18:I18"/>
    <mergeCell ref="A19:C19"/>
    <mergeCell ref="D21:E21"/>
    <mergeCell ref="F21:G21"/>
    <mergeCell ref="H21:I21"/>
    <mergeCell ref="D17:E17"/>
    <mergeCell ref="F17:G17"/>
    <mergeCell ref="H17:I17"/>
    <mergeCell ref="A20:C20"/>
    <mergeCell ref="D19:E19"/>
    <mergeCell ref="A8:A10"/>
    <mergeCell ref="B8:I10"/>
    <mergeCell ref="A12:C12"/>
    <mergeCell ref="A11:I11"/>
    <mergeCell ref="F19:G19"/>
    <mergeCell ref="H19:I19"/>
    <mergeCell ref="D20:E20"/>
    <mergeCell ref="F20:G20"/>
    <mergeCell ref="H20:I20"/>
    <mergeCell ref="A15:C15"/>
    <mergeCell ref="D15:E15"/>
    <mergeCell ref="F15:G15"/>
    <mergeCell ref="H15:I15"/>
    <mergeCell ref="A16:C16"/>
    <mergeCell ref="D16:E16"/>
    <mergeCell ref="F16:G16"/>
    <mergeCell ref="H16:I16"/>
    <mergeCell ref="A17:C17"/>
    <mergeCell ref="A1:I1"/>
    <mergeCell ref="A2:I2"/>
    <mergeCell ref="A3:I3"/>
    <mergeCell ref="A4:I4"/>
    <mergeCell ref="A5:A6"/>
    <mergeCell ref="B5:D6"/>
    <mergeCell ref="E5:F6"/>
    <mergeCell ref="G5:I6"/>
    <mergeCell ref="D12:I12"/>
    <mergeCell ref="A7:I7"/>
    <mergeCell ref="A40:I44"/>
    <mergeCell ref="A35:I35"/>
    <mergeCell ref="A36:B37"/>
    <mergeCell ref="C36:I37"/>
    <mergeCell ref="A38:A39"/>
    <mergeCell ref="B38:I39"/>
    <mergeCell ref="H22:I22"/>
    <mergeCell ref="A23:I23"/>
    <mergeCell ref="F33:G33"/>
    <mergeCell ref="H33:I33"/>
    <mergeCell ref="D34:E34"/>
    <mergeCell ref="F34:G34"/>
    <mergeCell ref="H34:I34"/>
    <mergeCell ref="A28:C28"/>
    <mergeCell ref="D28:E28"/>
    <mergeCell ref="F28:G28"/>
    <mergeCell ref="H28:I28"/>
    <mergeCell ref="A24:C24"/>
    <mergeCell ref="D24:I24"/>
    <mergeCell ref="A27:C27"/>
    <mergeCell ref="D27:E27"/>
    <mergeCell ref="F27:G27"/>
    <mergeCell ref="A33:C33"/>
    <mergeCell ref="A34:C34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7" r:id="rId4" name="Check Box 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0</xdr:rowOff>
                  </from>
                  <to>
                    <xdr:col>3</xdr:col>
                    <xdr:colOff>219075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5" name="Check Box 2">
              <controlPr defaultSize="0" autoFill="0" autoLine="0" autoPict="0">
                <anchor moveWithCells="1">
                  <from>
                    <xdr:col>3</xdr:col>
                    <xdr:colOff>571500</xdr:colOff>
                    <xdr:row>8</xdr:row>
                    <xdr:rowOff>0</xdr:rowOff>
                  </from>
                  <to>
                    <xdr:col>4</xdr:col>
                    <xdr:colOff>1104900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0074C-F4FA-4A3D-8221-5BDEE64D4F8E}">
  <sheetPr codeName="Sheet14"/>
  <dimension ref="A1:L46"/>
  <sheetViews>
    <sheetView topLeftCell="A16" zoomScale="115" zoomScaleNormal="115" workbookViewId="0">
      <selection activeCell="D16" sqref="D16:I17"/>
    </sheetView>
  </sheetViews>
  <sheetFormatPr defaultRowHeight="14.25" x14ac:dyDescent="0.2"/>
  <cols>
    <col min="1" max="1" width="10" customWidth="1"/>
    <col min="2" max="2" width="8.75" customWidth="1"/>
    <col min="3" max="4" width="8.5" customWidth="1"/>
    <col min="5" max="5" width="12.625" customWidth="1"/>
    <col min="6" max="6" width="8.875" customWidth="1"/>
    <col min="7" max="7" width="12.75" customWidth="1"/>
    <col min="8" max="8" width="3" customWidth="1"/>
    <col min="9" max="9" width="20.25" customWidth="1"/>
  </cols>
  <sheetData>
    <row r="1" spans="1:9" ht="60" customHeight="1" x14ac:dyDescent="0.2">
      <c r="A1" s="87"/>
      <c r="B1" s="87"/>
      <c r="C1" s="87"/>
      <c r="D1" s="87"/>
      <c r="E1" s="87"/>
      <c r="F1" s="87"/>
      <c r="G1" s="87"/>
      <c r="H1" s="87"/>
      <c r="I1" s="87"/>
    </row>
    <row r="2" spans="1:9" ht="12.75" customHeight="1" x14ac:dyDescent="0.2">
      <c r="A2" s="88" t="s">
        <v>55</v>
      </c>
      <c r="B2" s="88"/>
      <c r="C2" s="88"/>
      <c r="D2" s="88"/>
      <c r="E2" s="88"/>
      <c r="F2" s="88"/>
      <c r="G2" s="88"/>
      <c r="H2" s="88"/>
      <c r="I2" s="88"/>
    </row>
    <row r="3" spans="1:9" ht="14.25" customHeight="1" x14ac:dyDescent="0.2">
      <c r="A3" s="110" t="s">
        <v>78</v>
      </c>
      <c r="B3" s="111"/>
      <c r="C3" s="111"/>
      <c r="D3" s="111"/>
      <c r="E3" s="111"/>
      <c r="F3" s="111"/>
      <c r="G3" s="111"/>
      <c r="H3" s="111"/>
      <c r="I3" s="111"/>
    </row>
    <row r="4" spans="1:9" ht="8.25" customHeight="1" thickBot="1" x14ac:dyDescent="0.25">
      <c r="A4" s="91"/>
      <c r="B4" s="91"/>
      <c r="C4" s="91"/>
      <c r="D4" s="91"/>
      <c r="E4" s="91"/>
      <c r="F4" s="91"/>
      <c r="G4" s="91"/>
      <c r="H4" s="91"/>
      <c r="I4" s="91"/>
    </row>
    <row r="5" spans="1:9" ht="12.75" customHeight="1" x14ac:dyDescent="0.2">
      <c r="A5" s="65" t="s">
        <v>57</v>
      </c>
      <c r="B5" s="60" t="s">
        <v>58</v>
      </c>
      <c r="C5" s="60"/>
      <c r="D5" s="60"/>
      <c r="E5" s="60" t="s">
        <v>59</v>
      </c>
      <c r="F5" s="60"/>
      <c r="G5" s="60" t="s">
        <v>60</v>
      </c>
      <c r="H5" s="60"/>
      <c r="I5" s="63"/>
    </row>
    <row r="6" spans="1:9" ht="13.5" customHeight="1" thickBot="1" x14ac:dyDescent="0.25">
      <c r="A6" s="66"/>
      <c r="B6" s="62"/>
      <c r="C6" s="62"/>
      <c r="D6" s="62"/>
      <c r="E6" s="62"/>
      <c r="F6" s="62"/>
      <c r="G6" s="62"/>
      <c r="H6" s="62"/>
      <c r="I6" s="64"/>
    </row>
    <row r="7" spans="1:9" ht="6.75" customHeight="1" thickBot="1" x14ac:dyDescent="0.25">
      <c r="A7" s="92"/>
      <c r="B7" s="92"/>
      <c r="C7" s="92"/>
      <c r="D7" s="92"/>
      <c r="E7" s="92"/>
      <c r="F7" s="92"/>
      <c r="G7" s="92"/>
      <c r="H7" s="92"/>
      <c r="I7" s="92"/>
    </row>
    <row r="8" spans="1:9" ht="12.75" customHeight="1" x14ac:dyDescent="0.2">
      <c r="A8" s="59" t="s">
        <v>61</v>
      </c>
      <c r="B8" s="47"/>
      <c r="C8" s="60"/>
      <c r="D8" s="60"/>
      <c r="E8" s="60"/>
      <c r="F8" s="60"/>
      <c r="G8" s="60"/>
      <c r="H8" s="60"/>
      <c r="I8" s="63"/>
    </row>
    <row r="9" spans="1:9" ht="12.75" customHeight="1" x14ac:dyDescent="0.2">
      <c r="A9" s="76"/>
      <c r="B9" s="77"/>
      <c r="C9" s="77"/>
      <c r="D9" s="77"/>
      <c r="E9" s="77"/>
      <c r="F9" s="77"/>
      <c r="G9" s="77"/>
      <c r="H9" s="77"/>
      <c r="I9" s="95"/>
    </row>
    <row r="10" spans="1:9" ht="7.35" customHeight="1" thickBot="1" x14ac:dyDescent="0.25">
      <c r="A10" s="61"/>
      <c r="B10" s="62"/>
      <c r="C10" s="62"/>
      <c r="D10" s="62"/>
      <c r="E10" s="62"/>
      <c r="F10" s="62"/>
      <c r="G10" s="62"/>
      <c r="H10" s="62"/>
      <c r="I10" s="64"/>
    </row>
    <row r="11" spans="1:9" ht="7.5" customHeight="1" thickBot="1" x14ac:dyDescent="0.25">
      <c r="A11" s="114"/>
      <c r="B11" s="115"/>
      <c r="C11" s="115"/>
      <c r="D11" s="115"/>
      <c r="E11" s="115"/>
      <c r="F11" s="115"/>
      <c r="G11" s="115"/>
      <c r="H11" s="115"/>
      <c r="I11" s="116"/>
    </row>
    <row r="12" spans="1:9" ht="13.35" customHeight="1" thickBot="1" x14ac:dyDescent="0.25">
      <c r="A12" s="117" t="s">
        <v>79</v>
      </c>
      <c r="B12" s="117"/>
      <c r="C12" s="118"/>
      <c r="D12" s="119" t="s">
        <v>80</v>
      </c>
      <c r="E12" s="120"/>
      <c r="F12" s="120"/>
      <c r="G12" s="120"/>
      <c r="H12" s="120"/>
      <c r="I12" s="121"/>
    </row>
    <row r="13" spans="1:9" ht="18.75" customHeight="1" x14ac:dyDescent="0.2">
      <c r="A13" s="100" t="s">
        <v>62</v>
      </c>
      <c r="B13" s="101"/>
      <c r="C13" s="102"/>
      <c r="D13" s="103">
        <v>4</v>
      </c>
      <c r="E13" s="104"/>
      <c r="F13" s="103"/>
      <c r="G13" s="104"/>
      <c r="H13" s="103"/>
      <c r="I13" s="82"/>
    </row>
    <row r="14" spans="1:9" ht="39" customHeight="1" x14ac:dyDescent="0.2">
      <c r="A14" s="84" t="s">
        <v>81</v>
      </c>
      <c r="B14" s="85"/>
      <c r="C14" s="86"/>
      <c r="D14" s="112"/>
      <c r="E14" s="108"/>
      <c r="F14" s="112"/>
      <c r="G14" s="108"/>
      <c r="H14" s="112"/>
      <c r="I14" s="113"/>
    </row>
    <row r="15" spans="1:9" ht="20.100000000000001" customHeight="1" x14ac:dyDescent="0.2">
      <c r="A15" s="76" t="s">
        <v>65</v>
      </c>
      <c r="B15" s="77"/>
      <c r="C15" s="77"/>
      <c r="D15" s="83">
        <v>99.918301112496891</v>
      </c>
      <c r="E15" s="83"/>
      <c r="F15" s="83"/>
      <c r="G15" s="83"/>
      <c r="H15" s="83"/>
      <c r="I15" s="99"/>
    </row>
    <row r="16" spans="1:9" ht="20.100000000000001" customHeight="1" x14ac:dyDescent="0.2">
      <c r="A16" s="76" t="s">
        <v>66</v>
      </c>
      <c r="B16" s="77"/>
      <c r="C16" s="77"/>
      <c r="D16" s="78">
        <v>1.1944444444444447E-2</v>
      </c>
      <c r="E16" s="78"/>
      <c r="F16" s="78"/>
      <c r="G16" s="78"/>
      <c r="H16" s="78"/>
      <c r="I16" s="79"/>
    </row>
    <row r="17" spans="1:12" ht="20.100000000000001" customHeight="1" x14ac:dyDescent="0.2">
      <c r="A17" s="76" t="s">
        <v>67</v>
      </c>
      <c r="B17" s="77"/>
      <c r="C17" s="77"/>
      <c r="D17" s="78">
        <v>0.01</v>
      </c>
      <c r="E17" s="78"/>
      <c r="F17" s="78"/>
      <c r="G17" s="78"/>
      <c r="H17" s="78"/>
      <c r="I17" s="79"/>
    </row>
    <row r="18" spans="1:12" ht="20.100000000000001" customHeight="1" x14ac:dyDescent="0.2">
      <c r="A18" s="76" t="s">
        <v>82</v>
      </c>
      <c r="B18" s="77"/>
      <c r="C18" s="77"/>
      <c r="D18" s="74"/>
      <c r="E18" s="74"/>
      <c r="F18" s="74"/>
      <c r="G18" s="74"/>
      <c r="H18" s="74"/>
      <c r="I18" s="75"/>
    </row>
    <row r="19" spans="1:12" ht="20.100000000000001" customHeight="1" x14ac:dyDescent="0.2">
      <c r="A19" s="84" t="s">
        <v>83</v>
      </c>
      <c r="B19" s="85"/>
      <c r="C19" s="86"/>
      <c r="D19" s="112"/>
      <c r="E19" s="108"/>
      <c r="F19" s="112"/>
      <c r="G19" s="108"/>
      <c r="H19" s="112"/>
      <c r="I19" s="113"/>
    </row>
    <row r="20" spans="1:12" ht="20.100000000000001" customHeight="1" x14ac:dyDescent="0.2">
      <c r="A20" s="76" t="s">
        <v>84</v>
      </c>
      <c r="B20" s="77"/>
      <c r="C20" s="77"/>
      <c r="D20" s="74"/>
      <c r="E20" s="74"/>
      <c r="F20" s="74"/>
      <c r="G20" s="74"/>
      <c r="H20" s="74"/>
      <c r="I20" s="75"/>
    </row>
    <row r="21" spans="1:12" ht="20.100000000000001" customHeight="1" x14ac:dyDescent="0.2">
      <c r="A21" s="76" t="s">
        <v>85</v>
      </c>
      <c r="B21" s="77"/>
      <c r="C21" s="77"/>
      <c r="D21" s="74"/>
      <c r="E21" s="74"/>
      <c r="F21" s="74"/>
      <c r="G21" s="74"/>
      <c r="H21" s="74"/>
      <c r="I21" s="75"/>
      <c r="L21" t="s">
        <v>115</v>
      </c>
    </row>
    <row r="22" spans="1:12" ht="20.100000000000001" customHeight="1" x14ac:dyDescent="0.2">
      <c r="A22" s="76" t="s">
        <v>86</v>
      </c>
      <c r="B22" s="77"/>
      <c r="C22" s="77"/>
      <c r="D22" s="74"/>
      <c r="E22" s="74"/>
      <c r="F22" s="74"/>
      <c r="G22" s="74"/>
      <c r="H22" s="74"/>
      <c r="I22" s="75"/>
    </row>
    <row r="23" spans="1:12" ht="20.100000000000001" customHeight="1" thickBot="1" x14ac:dyDescent="0.25">
      <c r="A23" s="122" t="s">
        <v>87</v>
      </c>
      <c r="B23" s="123"/>
      <c r="C23" s="124"/>
      <c r="D23" s="72"/>
      <c r="E23" s="72"/>
      <c r="F23" s="72"/>
      <c r="G23" s="72"/>
      <c r="H23" s="72"/>
      <c r="I23" s="73"/>
    </row>
    <row r="24" spans="1:12" ht="7.5" customHeight="1" thickBot="1" x14ac:dyDescent="0.25">
      <c r="A24" s="58"/>
      <c r="B24" s="58"/>
      <c r="C24" s="58"/>
      <c r="D24" s="58"/>
      <c r="E24" s="58"/>
      <c r="F24" s="58"/>
      <c r="G24" s="58"/>
      <c r="H24" s="58"/>
      <c r="I24" s="58"/>
    </row>
    <row r="25" spans="1:12" ht="13.35" customHeight="1" thickBot="1" x14ac:dyDescent="0.25">
      <c r="A25" s="117" t="s">
        <v>79</v>
      </c>
      <c r="B25" s="117"/>
      <c r="C25" s="118"/>
      <c r="D25" s="125" t="s">
        <v>88</v>
      </c>
      <c r="E25" s="126"/>
      <c r="F25" s="126"/>
      <c r="G25" s="126"/>
      <c r="H25" s="126"/>
      <c r="I25" s="127"/>
    </row>
    <row r="26" spans="1:12" ht="18" customHeight="1" x14ac:dyDescent="0.2">
      <c r="A26" s="100" t="s">
        <v>62</v>
      </c>
      <c r="B26" s="101"/>
      <c r="C26" s="102"/>
      <c r="D26" s="103"/>
      <c r="E26" s="104"/>
      <c r="F26" s="103"/>
      <c r="G26" s="104"/>
      <c r="H26" s="103"/>
      <c r="I26" s="82"/>
    </row>
    <row r="27" spans="1:12" ht="40.35" customHeight="1" x14ac:dyDescent="0.2">
      <c r="A27" s="84" t="s">
        <v>81</v>
      </c>
      <c r="B27" s="85"/>
      <c r="C27" s="86"/>
      <c r="D27" s="112"/>
      <c r="E27" s="108"/>
      <c r="F27" s="112"/>
      <c r="G27" s="108"/>
      <c r="H27" s="112"/>
      <c r="I27" s="113"/>
    </row>
    <row r="28" spans="1:12" ht="20.100000000000001" customHeight="1" x14ac:dyDescent="0.2">
      <c r="A28" s="76" t="s">
        <v>65</v>
      </c>
      <c r="B28" s="77"/>
      <c r="C28" s="77"/>
      <c r="D28" s="83"/>
      <c r="E28" s="83"/>
      <c r="F28" s="83"/>
      <c r="G28" s="83"/>
      <c r="H28" s="83"/>
      <c r="I28" s="99"/>
    </row>
    <row r="29" spans="1:12" ht="20.100000000000001" customHeight="1" x14ac:dyDescent="0.2">
      <c r="A29" s="76" t="s">
        <v>66</v>
      </c>
      <c r="B29" s="77"/>
      <c r="C29" s="77"/>
      <c r="D29" s="138"/>
      <c r="E29" s="138"/>
      <c r="F29" s="138"/>
      <c r="G29" s="138"/>
      <c r="H29" s="138"/>
      <c r="I29" s="139"/>
    </row>
    <row r="30" spans="1:12" ht="20.100000000000001" customHeight="1" x14ac:dyDescent="0.2">
      <c r="A30" s="76" t="s">
        <v>67</v>
      </c>
      <c r="B30" s="77"/>
      <c r="C30" s="77"/>
      <c r="D30" s="138"/>
      <c r="E30" s="138"/>
      <c r="F30" s="138"/>
      <c r="G30" s="138"/>
      <c r="H30" s="138"/>
      <c r="I30" s="139"/>
    </row>
    <row r="31" spans="1:12" ht="20.100000000000001" customHeight="1" x14ac:dyDescent="0.2">
      <c r="A31" s="76" t="s">
        <v>82</v>
      </c>
      <c r="B31" s="77"/>
      <c r="C31" s="77"/>
      <c r="D31" s="74"/>
      <c r="E31" s="74"/>
      <c r="F31" s="74"/>
      <c r="G31" s="74"/>
      <c r="H31" s="74"/>
      <c r="I31" s="75"/>
    </row>
    <row r="32" spans="1:12" ht="20.100000000000001" customHeight="1" x14ac:dyDescent="0.2">
      <c r="A32" s="84" t="s">
        <v>83</v>
      </c>
      <c r="B32" s="85"/>
      <c r="C32" s="86"/>
      <c r="D32" s="112"/>
      <c r="E32" s="108"/>
      <c r="F32" s="112"/>
      <c r="G32" s="108"/>
      <c r="H32" s="112"/>
      <c r="I32" s="113"/>
    </row>
    <row r="33" spans="1:9" ht="20.100000000000001" customHeight="1" x14ac:dyDescent="0.2">
      <c r="A33" s="76" t="s">
        <v>84</v>
      </c>
      <c r="B33" s="77"/>
      <c r="C33" s="77"/>
      <c r="D33" s="74"/>
      <c r="E33" s="74"/>
      <c r="F33" s="74"/>
      <c r="G33" s="74"/>
      <c r="H33" s="74"/>
      <c r="I33" s="75"/>
    </row>
    <row r="34" spans="1:9" ht="20.100000000000001" customHeight="1" x14ac:dyDescent="0.2">
      <c r="A34" s="76" t="s">
        <v>85</v>
      </c>
      <c r="B34" s="77"/>
      <c r="C34" s="77"/>
      <c r="D34" s="74"/>
      <c r="E34" s="74"/>
      <c r="F34" s="74"/>
      <c r="G34" s="74"/>
      <c r="H34" s="74"/>
      <c r="I34" s="75"/>
    </row>
    <row r="35" spans="1:9" ht="20.100000000000001" customHeight="1" x14ac:dyDescent="0.2">
      <c r="A35" s="76" t="s">
        <v>86</v>
      </c>
      <c r="B35" s="77"/>
      <c r="C35" s="77"/>
      <c r="D35" s="74"/>
      <c r="E35" s="74"/>
      <c r="F35" s="74"/>
      <c r="G35" s="74"/>
      <c r="H35" s="74"/>
      <c r="I35" s="75"/>
    </row>
    <row r="36" spans="1:9" ht="20.100000000000001" customHeight="1" thickBot="1" x14ac:dyDescent="0.25">
      <c r="A36" s="122" t="s">
        <v>87</v>
      </c>
      <c r="B36" s="123"/>
      <c r="C36" s="124"/>
      <c r="D36" s="72"/>
      <c r="E36" s="72"/>
      <c r="F36" s="72"/>
      <c r="G36" s="72"/>
      <c r="H36" s="72"/>
      <c r="I36" s="73"/>
    </row>
    <row r="37" spans="1:9" ht="8.25" customHeight="1" thickBot="1" x14ac:dyDescent="0.25">
      <c r="A37" s="58"/>
      <c r="B37" s="58"/>
      <c r="C37" s="58"/>
      <c r="D37" s="58"/>
      <c r="E37" s="58"/>
      <c r="F37" s="58"/>
      <c r="G37" s="58"/>
      <c r="H37" s="58"/>
      <c r="I37" s="58"/>
    </row>
    <row r="38" spans="1:9" ht="19.350000000000001" customHeight="1" x14ac:dyDescent="0.2">
      <c r="A38" s="128" t="s">
        <v>73</v>
      </c>
      <c r="B38" s="129"/>
      <c r="C38" s="132" t="s">
        <v>89</v>
      </c>
      <c r="D38" s="133"/>
      <c r="E38" s="133"/>
      <c r="F38" s="133"/>
      <c r="G38" s="133"/>
      <c r="H38" s="133"/>
      <c r="I38" s="134"/>
    </row>
    <row r="39" spans="1:9" ht="18" customHeight="1" thickBot="1" x14ac:dyDescent="0.25">
      <c r="A39" s="130"/>
      <c r="B39" s="131"/>
      <c r="C39" s="135"/>
      <c r="D39" s="136"/>
      <c r="E39" s="136"/>
      <c r="F39" s="136"/>
      <c r="G39" s="136"/>
      <c r="H39" s="136"/>
      <c r="I39" s="137"/>
    </row>
    <row r="40" spans="1:9" ht="22.35" customHeight="1" x14ac:dyDescent="0.2">
      <c r="A40" s="65" t="s">
        <v>75</v>
      </c>
      <c r="B40" s="67" t="s">
        <v>90</v>
      </c>
      <c r="C40" s="68"/>
      <c r="D40" s="68"/>
      <c r="E40" s="68"/>
      <c r="F40" s="68"/>
      <c r="G40" s="68"/>
      <c r="H40" s="68"/>
      <c r="I40" s="69"/>
    </row>
    <row r="41" spans="1:9" ht="79.349999999999994" customHeight="1" thickBot="1" x14ac:dyDescent="0.25">
      <c r="A41" s="66"/>
      <c r="B41" s="70"/>
      <c r="C41" s="70"/>
      <c r="D41" s="70"/>
      <c r="E41" s="70"/>
      <c r="F41" s="70"/>
      <c r="G41" s="70"/>
      <c r="H41" s="70"/>
      <c r="I41" s="71"/>
    </row>
    <row r="42" spans="1:9" ht="12.75" customHeight="1" x14ac:dyDescent="0.2">
      <c r="A42" s="46" t="s">
        <v>91</v>
      </c>
      <c r="B42" s="47"/>
      <c r="C42" s="47"/>
      <c r="D42" s="47"/>
      <c r="E42" s="47"/>
      <c r="F42" s="47"/>
      <c r="G42" s="47"/>
      <c r="H42" s="47"/>
      <c r="I42" s="48"/>
    </row>
    <row r="43" spans="1:9" ht="12.75" customHeight="1" x14ac:dyDescent="0.2">
      <c r="A43" s="49"/>
      <c r="B43" s="50"/>
      <c r="C43" s="50"/>
      <c r="D43" s="50"/>
      <c r="E43" s="50"/>
      <c r="F43" s="50"/>
      <c r="G43" s="50"/>
      <c r="H43" s="50"/>
      <c r="I43" s="51"/>
    </row>
    <row r="44" spans="1:9" ht="12.75" customHeight="1" x14ac:dyDescent="0.2">
      <c r="A44" s="49"/>
      <c r="B44" s="50"/>
      <c r="C44" s="50"/>
      <c r="D44" s="50"/>
      <c r="E44" s="50"/>
      <c r="F44" s="50"/>
      <c r="G44" s="50"/>
      <c r="H44" s="50"/>
      <c r="I44" s="51"/>
    </row>
    <row r="45" spans="1:9" ht="12.75" customHeight="1" x14ac:dyDescent="0.2">
      <c r="A45" s="52"/>
      <c r="B45" s="53"/>
      <c r="C45" s="53"/>
      <c r="D45" s="53"/>
      <c r="E45" s="53"/>
      <c r="F45" s="53"/>
      <c r="G45" s="53"/>
      <c r="H45" s="53"/>
      <c r="I45" s="54"/>
    </row>
    <row r="46" spans="1:9" ht="14.1" customHeight="1" thickBot="1" x14ac:dyDescent="0.25">
      <c r="A46" s="55"/>
      <c r="B46" s="56"/>
      <c r="C46" s="56"/>
      <c r="D46" s="56"/>
      <c r="E46" s="56"/>
      <c r="F46" s="56"/>
      <c r="G46" s="56"/>
      <c r="H46" s="56"/>
      <c r="I46" s="57"/>
    </row>
  </sheetData>
  <mergeCells count="111">
    <mergeCell ref="A30:C30"/>
    <mergeCell ref="D30:E30"/>
    <mergeCell ref="F30:G30"/>
    <mergeCell ref="H30:I30"/>
    <mergeCell ref="A31:C31"/>
    <mergeCell ref="D31:E31"/>
    <mergeCell ref="F31:G31"/>
    <mergeCell ref="H31:I31"/>
    <mergeCell ref="A16:C16"/>
    <mergeCell ref="D16:E16"/>
    <mergeCell ref="F16:G16"/>
    <mergeCell ref="H16:I16"/>
    <mergeCell ref="A17:C17"/>
    <mergeCell ref="D17:E17"/>
    <mergeCell ref="F17:G17"/>
    <mergeCell ref="H17:I17"/>
    <mergeCell ref="A29:C29"/>
    <mergeCell ref="D29:E29"/>
    <mergeCell ref="F29:G29"/>
    <mergeCell ref="H29:I29"/>
    <mergeCell ref="A27:C27"/>
    <mergeCell ref="D27:E27"/>
    <mergeCell ref="F27:G27"/>
    <mergeCell ref="H27:I27"/>
    <mergeCell ref="A40:A41"/>
    <mergeCell ref="B40:I41"/>
    <mergeCell ref="A42:I46"/>
    <mergeCell ref="A36:C36"/>
    <mergeCell ref="D36:E36"/>
    <mergeCell ref="F36:G36"/>
    <mergeCell ref="H36:I36"/>
    <mergeCell ref="A37:I37"/>
    <mergeCell ref="A38:B39"/>
    <mergeCell ref="C38:I39"/>
    <mergeCell ref="A35:C35"/>
    <mergeCell ref="D35:E35"/>
    <mergeCell ref="F35:G35"/>
    <mergeCell ref="H35:I35"/>
    <mergeCell ref="H33:I33"/>
    <mergeCell ref="F33:G33"/>
    <mergeCell ref="D33:E33"/>
    <mergeCell ref="A33:C33"/>
    <mergeCell ref="A32:C32"/>
    <mergeCell ref="D32:E32"/>
    <mergeCell ref="F32:G32"/>
    <mergeCell ref="H32:I32"/>
    <mergeCell ref="A34:C34"/>
    <mergeCell ref="D34:E34"/>
    <mergeCell ref="F34:G34"/>
    <mergeCell ref="H34:I34"/>
    <mergeCell ref="A28:C28"/>
    <mergeCell ref="D28:E28"/>
    <mergeCell ref="F28:G28"/>
    <mergeCell ref="H28:I28"/>
    <mergeCell ref="A25:C25"/>
    <mergeCell ref="D25:I25"/>
    <mergeCell ref="A26:C26"/>
    <mergeCell ref="D26:E26"/>
    <mergeCell ref="F26:G26"/>
    <mergeCell ref="H26:I26"/>
    <mergeCell ref="A23:C23"/>
    <mergeCell ref="D23:E23"/>
    <mergeCell ref="F23:G23"/>
    <mergeCell ref="H23:I23"/>
    <mergeCell ref="A24:I24"/>
    <mergeCell ref="A21:C21"/>
    <mergeCell ref="D21:E21"/>
    <mergeCell ref="F21:G21"/>
    <mergeCell ref="H21:I21"/>
    <mergeCell ref="A22:C22"/>
    <mergeCell ref="D22:E22"/>
    <mergeCell ref="F22:G22"/>
    <mergeCell ref="H22:I22"/>
    <mergeCell ref="A13:C13"/>
    <mergeCell ref="D13:E13"/>
    <mergeCell ref="F13:G13"/>
    <mergeCell ref="H13:I13"/>
    <mergeCell ref="A14:C14"/>
    <mergeCell ref="D14:E14"/>
    <mergeCell ref="F14:G14"/>
    <mergeCell ref="H14:I14"/>
    <mergeCell ref="A7:I7"/>
    <mergeCell ref="A8:A10"/>
    <mergeCell ref="B8:I10"/>
    <mergeCell ref="A11:I11"/>
    <mergeCell ref="A12:C12"/>
    <mergeCell ref="D12:I12"/>
    <mergeCell ref="A1:I1"/>
    <mergeCell ref="A2:I2"/>
    <mergeCell ref="A3:I3"/>
    <mergeCell ref="A4:I4"/>
    <mergeCell ref="A5:A6"/>
    <mergeCell ref="B5:D6"/>
    <mergeCell ref="E5:F6"/>
    <mergeCell ref="G5:I6"/>
    <mergeCell ref="A20:C20"/>
    <mergeCell ref="D20:E20"/>
    <mergeCell ref="F20:G20"/>
    <mergeCell ref="H20:I20"/>
    <mergeCell ref="A15:C15"/>
    <mergeCell ref="D15:E15"/>
    <mergeCell ref="F15:G15"/>
    <mergeCell ref="H15:I15"/>
    <mergeCell ref="A19:C19"/>
    <mergeCell ref="D19:E19"/>
    <mergeCell ref="F19:G19"/>
    <mergeCell ref="H19:I19"/>
    <mergeCell ref="A18:C18"/>
    <mergeCell ref="D18:E18"/>
    <mergeCell ref="F18:G18"/>
    <mergeCell ref="H18:I18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Check Box 1">
              <controlPr defaultSize="0" autoFill="0" autoLine="0" autoPict="0">
                <anchor moveWithCells="1">
                  <from>
                    <xdr:col>1</xdr:col>
                    <xdr:colOff>257175</xdr:colOff>
                    <xdr:row>7</xdr:row>
                    <xdr:rowOff>76200</xdr:rowOff>
                  </from>
                  <to>
                    <xdr:col>3</xdr:col>
                    <xdr:colOff>238125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CB29F-ABD4-4C04-B916-141403922EB2}">
  <sheetPr codeName="Sheet15"/>
  <dimension ref="A1:I44"/>
  <sheetViews>
    <sheetView topLeftCell="A22" zoomScale="115" zoomScaleNormal="115" workbookViewId="0">
      <selection activeCell="A27" sqref="A27:C31"/>
    </sheetView>
  </sheetViews>
  <sheetFormatPr defaultRowHeight="14.25" x14ac:dyDescent="0.2"/>
  <cols>
    <col min="1" max="1" width="10" customWidth="1"/>
    <col min="2" max="2" width="8.75" customWidth="1"/>
    <col min="3" max="3" width="9.75" customWidth="1"/>
    <col min="4" max="4" width="8.5" customWidth="1"/>
    <col min="5" max="5" width="12.625" customWidth="1"/>
    <col min="6" max="6" width="8.875" customWidth="1"/>
    <col min="7" max="7" width="12.75" customWidth="1"/>
    <col min="8" max="8" width="3" customWidth="1"/>
    <col min="9" max="9" width="20.75" customWidth="1"/>
  </cols>
  <sheetData>
    <row r="1" spans="1:9" ht="60" customHeight="1" x14ac:dyDescent="0.2">
      <c r="A1" s="87"/>
      <c r="B1" s="87"/>
      <c r="C1" s="87"/>
      <c r="D1" s="87"/>
      <c r="E1" s="87"/>
      <c r="F1" s="87"/>
      <c r="G1" s="87"/>
      <c r="H1" s="87"/>
      <c r="I1" s="87"/>
    </row>
    <row r="2" spans="1:9" ht="15.75" customHeight="1" x14ac:dyDescent="0.2">
      <c r="A2" s="88" t="s">
        <v>55</v>
      </c>
      <c r="B2" s="88"/>
      <c r="C2" s="88"/>
      <c r="D2" s="88"/>
      <c r="E2" s="88"/>
      <c r="F2" s="88"/>
      <c r="G2" s="88"/>
      <c r="H2" s="88"/>
      <c r="I2" s="88"/>
    </row>
    <row r="3" spans="1:9" ht="14.25" customHeight="1" x14ac:dyDescent="0.2">
      <c r="A3" s="110" t="s">
        <v>78</v>
      </c>
      <c r="B3" s="111"/>
      <c r="C3" s="111"/>
      <c r="D3" s="111"/>
      <c r="E3" s="111"/>
      <c r="F3" s="111"/>
      <c r="G3" s="111"/>
      <c r="H3" s="111"/>
      <c r="I3" s="111"/>
    </row>
    <row r="4" spans="1:9" ht="8.25" customHeight="1" thickBot="1" x14ac:dyDescent="0.25">
      <c r="A4" s="91"/>
      <c r="B4" s="91"/>
      <c r="C4" s="91"/>
      <c r="D4" s="91"/>
      <c r="E4" s="91"/>
      <c r="F4" s="91"/>
      <c r="G4" s="91"/>
      <c r="H4" s="91"/>
      <c r="I4" s="91"/>
    </row>
    <row r="5" spans="1:9" ht="12.75" customHeight="1" x14ac:dyDescent="0.2">
      <c r="A5" s="65" t="s">
        <v>57</v>
      </c>
      <c r="B5" s="60" t="s">
        <v>58</v>
      </c>
      <c r="C5" s="60"/>
      <c r="D5" s="60"/>
      <c r="E5" s="60" t="s">
        <v>59</v>
      </c>
      <c r="F5" s="60"/>
      <c r="G5" s="60" t="s">
        <v>60</v>
      </c>
      <c r="H5" s="60"/>
      <c r="I5" s="63"/>
    </row>
    <row r="6" spans="1:9" ht="12.75" customHeight="1" thickBot="1" x14ac:dyDescent="0.25">
      <c r="A6" s="66"/>
      <c r="B6" s="62"/>
      <c r="C6" s="62"/>
      <c r="D6" s="62"/>
      <c r="E6" s="62"/>
      <c r="F6" s="62"/>
      <c r="G6" s="62"/>
      <c r="H6" s="62"/>
      <c r="I6" s="64"/>
    </row>
    <row r="7" spans="1:9" ht="6.75" customHeight="1" thickBot="1" x14ac:dyDescent="0.25">
      <c r="A7" s="92"/>
      <c r="B7" s="92"/>
      <c r="C7" s="92"/>
      <c r="D7" s="92"/>
      <c r="E7" s="92"/>
      <c r="F7" s="92"/>
      <c r="G7" s="92"/>
      <c r="H7" s="92"/>
      <c r="I7" s="92"/>
    </row>
    <row r="8" spans="1:9" ht="12.75" customHeight="1" x14ac:dyDescent="0.2">
      <c r="A8" s="59" t="s">
        <v>61</v>
      </c>
      <c r="B8" s="47" t="s">
        <v>116</v>
      </c>
      <c r="C8" s="60"/>
      <c r="D8" s="60"/>
      <c r="E8" s="60"/>
      <c r="F8" s="60"/>
      <c r="G8" s="60"/>
      <c r="H8" s="60"/>
      <c r="I8" s="63"/>
    </row>
    <row r="9" spans="1:9" ht="4.3499999999999996" customHeight="1" x14ac:dyDescent="0.2">
      <c r="A9" s="76"/>
      <c r="B9" s="77"/>
      <c r="C9" s="77"/>
      <c r="D9" s="77"/>
      <c r="E9" s="77"/>
      <c r="F9" s="77"/>
      <c r="G9" s="77"/>
      <c r="H9" s="77"/>
      <c r="I9" s="95"/>
    </row>
    <row r="10" spans="1:9" ht="7.35" customHeight="1" thickBot="1" x14ac:dyDescent="0.25">
      <c r="A10" s="61"/>
      <c r="B10" s="62"/>
      <c r="C10" s="62"/>
      <c r="D10" s="62"/>
      <c r="E10" s="62"/>
      <c r="F10" s="62"/>
      <c r="G10" s="62"/>
      <c r="H10" s="62"/>
      <c r="I10" s="64"/>
    </row>
    <row r="11" spans="1:9" ht="7.5" customHeight="1" thickBot="1" x14ac:dyDescent="0.25">
      <c r="A11" s="58"/>
      <c r="B11" s="58"/>
      <c r="C11" s="58"/>
      <c r="D11" s="58"/>
      <c r="E11" s="58"/>
      <c r="F11" s="58"/>
      <c r="G11" s="58"/>
      <c r="H11" s="58"/>
      <c r="I11" s="58"/>
    </row>
    <row r="12" spans="1:9" ht="18.75" customHeight="1" x14ac:dyDescent="0.2">
      <c r="A12" s="140" t="s">
        <v>79</v>
      </c>
      <c r="B12" s="141"/>
      <c r="C12" s="141"/>
      <c r="D12" s="103" t="s">
        <v>92</v>
      </c>
      <c r="E12" s="81"/>
      <c r="F12" s="81"/>
      <c r="G12" s="81"/>
      <c r="H12" s="81"/>
      <c r="I12" s="82"/>
    </row>
    <row r="13" spans="1:9" ht="18.75" customHeight="1" x14ac:dyDescent="0.2">
      <c r="A13" s="76" t="s">
        <v>62</v>
      </c>
      <c r="B13" s="77"/>
      <c r="C13" s="77"/>
      <c r="D13" s="112"/>
      <c r="E13" s="108"/>
      <c r="F13" s="112"/>
      <c r="G13" s="108"/>
      <c r="H13" s="112"/>
      <c r="I13" s="113"/>
    </row>
    <row r="14" spans="1:9" ht="39" customHeight="1" x14ac:dyDescent="0.2">
      <c r="A14" s="76" t="s">
        <v>81</v>
      </c>
      <c r="B14" s="77"/>
      <c r="C14" s="77"/>
      <c r="D14" s="74"/>
      <c r="E14" s="74"/>
      <c r="F14" s="74"/>
      <c r="G14" s="74"/>
      <c r="H14" s="74"/>
      <c r="I14" s="75"/>
    </row>
    <row r="15" spans="1:9" ht="17.45" customHeight="1" x14ac:dyDescent="0.2">
      <c r="A15" s="76" t="s">
        <v>65</v>
      </c>
      <c r="B15" s="77"/>
      <c r="C15" s="77"/>
      <c r="D15" s="83"/>
      <c r="E15" s="83"/>
      <c r="F15" s="83"/>
      <c r="G15" s="83"/>
      <c r="H15" s="83"/>
      <c r="I15" s="99"/>
    </row>
    <row r="16" spans="1:9" ht="17.45" customHeight="1" x14ac:dyDescent="0.2">
      <c r="A16" s="76" t="s">
        <v>66</v>
      </c>
      <c r="B16" s="77"/>
      <c r="C16" s="77"/>
      <c r="D16" s="78"/>
      <c r="E16" s="78"/>
      <c r="F16" s="78"/>
      <c r="G16" s="78"/>
      <c r="H16" s="78"/>
      <c r="I16" s="79"/>
    </row>
    <row r="17" spans="1:9" ht="17.45" customHeight="1" x14ac:dyDescent="0.2">
      <c r="A17" s="76" t="s">
        <v>67</v>
      </c>
      <c r="B17" s="77"/>
      <c r="C17" s="77"/>
      <c r="D17" s="78"/>
      <c r="E17" s="78"/>
      <c r="F17" s="78"/>
      <c r="G17" s="78"/>
      <c r="H17" s="78"/>
      <c r="I17" s="79"/>
    </row>
    <row r="18" spans="1:9" ht="17.45" customHeight="1" x14ac:dyDescent="0.2">
      <c r="A18" s="84" t="s">
        <v>93</v>
      </c>
      <c r="B18" s="85"/>
      <c r="C18" s="86"/>
      <c r="D18" s="112"/>
      <c r="E18" s="108"/>
      <c r="F18" s="112"/>
      <c r="G18" s="108"/>
      <c r="H18" s="112"/>
      <c r="I18" s="113"/>
    </row>
    <row r="19" spans="1:9" ht="18.600000000000001" customHeight="1" x14ac:dyDescent="0.2">
      <c r="A19" s="76" t="s">
        <v>94</v>
      </c>
      <c r="B19" s="77"/>
      <c r="C19" s="77"/>
      <c r="D19" s="74"/>
      <c r="E19" s="74"/>
      <c r="F19" s="74"/>
      <c r="G19" s="74"/>
      <c r="H19" s="74"/>
      <c r="I19" s="75"/>
    </row>
    <row r="20" spans="1:9" ht="27" customHeight="1" x14ac:dyDescent="0.2">
      <c r="A20" s="142" t="s">
        <v>95</v>
      </c>
      <c r="B20" s="143"/>
      <c r="C20" s="144"/>
      <c r="D20" s="74"/>
      <c r="E20" s="74"/>
      <c r="F20" s="74"/>
      <c r="G20" s="74"/>
      <c r="H20" s="74"/>
      <c r="I20" s="75"/>
    </row>
    <row r="21" spans="1:9" ht="16.5" customHeight="1" x14ac:dyDescent="0.2">
      <c r="A21" s="76" t="s">
        <v>96</v>
      </c>
      <c r="B21" s="77"/>
      <c r="C21" s="77"/>
      <c r="D21" s="74"/>
      <c r="E21" s="74"/>
      <c r="F21" s="74"/>
      <c r="G21" s="74"/>
      <c r="H21" s="74"/>
      <c r="I21" s="75"/>
    </row>
    <row r="22" spans="1:9" ht="26.45" customHeight="1" x14ac:dyDescent="0.2">
      <c r="A22" s="142" t="s">
        <v>97</v>
      </c>
      <c r="B22" s="143"/>
      <c r="C22" s="144"/>
      <c r="D22" s="74"/>
      <c r="E22" s="74"/>
      <c r="F22" s="74"/>
      <c r="G22" s="74"/>
      <c r="H22" s="74"/>
      <c r="I22" s="75"/>
    </row>
    <row r="23" spans="1:9" ht="16.5" customHeight="1" x14ac:dyDescent="0.2">
      <c r="A23" s="77" t="s">
        <v>98</v>
      </c>
      <c r="B23" s="77"/>
      <c r="C23" s="77"/>
      <c r="D23" s="112"/>
      <c r="E23" s="108"/>
      <c r="F23" s="112"/>
      <c r="G23" s="108"/>
      <c r="H23" s="112"/>
      <c r="I23" s="113"/>
    </row>
    <row r="24" spans="1:9" ht="16.5" customHeight="1" thickBot="1" x14ac:dyDescent="0.25">
      <c r="A24" s="61" t="s">
        <v>99</v>
      </c>
      <c r="B24" s="62"/>
      <c r="C24" s="62"/>
      <c r="D24" s="105"/>
      <c r="E24" s="106"/>
      <c r="F24" s="105"/>
      <c r="G24" s="106"/>
      <c r="H24" s="105"/>
      <c r="I24" s="107"/>
    </row>
    <row r="25" spans="1:9" ht="7.5" customHeight="1" thickBot="1" x14ac:dyDescent="0.25">
      <c r="A25" s="58"/>
      <c r="B25" s="58"/>
      <c r="C25" s="58"/>
      <c r="D25" s="58"/>
      <c r="E25" s="58"/>
      <c r="F25" s="58"/>
      <c r="G25" s="58"/>
      <c r="H25" s="58"/>
      <c r="I25" s="58"/>
    </row>
    <row r="26" spans="1:9" ht="18" customHeight="1" x14ac:dyDescent="0.2">
      <c r="A26" s="59" t="s">
        <v>79</v>
      </c>
      <c r="B26" s="60"/>
      <c r="C26" s="60"/>
      <c r="D26" s="103" t="s">
        <v>88</v>
      </c>
      <c r="E26" s="81"/>
      <c r="F26" s="81"/>
      <c r="G26" s="81"/>
      <c r="H26" s="81"/>
      <c r="I26" s="82"/>
    </row>
    <row r="27" spans="1:9" ht="18" customHeight="1" x14ac:dyDescent="0.2">
      <c r="A27" s="84" t="s">
        <v>62</v>
      </c>
      <c r="B27" s="85"/>
      <c r="C27" s="86"/>
      <c r="D27" s="112">
        <v>4</v>
      </c>
      <c r="E27" s="108"/>
      <c r="F27" s="112"/>
      <c r="G27" s="108"/>
      <c r="H27" s="112"/>
      <c r="I27" s="113"/>
    </row>
    <row r="28" spans="1:9" ht="38.25" customHeight="1" x14ac:dyDescent="0.2">
      <c r="A28" s="76" t="s">
        <v>81</v>
      </c>
      <c r="B28" s="77"/>
      <c r="C28" s="77"/>
      <c r="D28" s="74"/>
      <c r="E28" s="74"/>
      <c r="F28" s="74"/>
      <c r="G28" s="74"/>
      <c r="H28" s="74"/>
      <c r="I28" s="75"/>
    </row>
    <row r="29" spans="1:9" ht="17.100000000000001" customHeight="1" x14ac:dyDescent="0.2">
      <c r="A29" s="76" t="s">
        <v>65</v>
      </c>
      <c r="B29" s="77"/>
      <c r="C29" s="77"/>
      <c r="D29" s="83">
        <v>99.918301112496891</v>
      </c>
      <c r="E29" s="83"/>
      <c r="F29" s="83"/>
      <c r="G29" s="83"/>
      <c r="H29" s="83"/>
      <c r="I29" s="99"/>
    </row>
    <row r="30" spans="1:9" ht="17.100000000000001" customHeight="1" x14ac:dyDescent="0.2">
      <c r="A30" s="76" t="s">
        <v>66</v>
      </c>
      <c r="B30" s="77"/>
      <c r="C30" s="77"/>
      <c r="D30" s="78">
        <v>1.1944444444444447E-2</v>
      </c>
      <c r="E30" s="78"/>
      <c r="F30" s="78"/>
      <c r="G30" s="78"/>
      <c r="H30" s="78"/>
      <c r="I30" s="79"/>
    </row>
    <row r="31" spans="1:9" ht="17.100000000000001" customHeight="1" x14ac:dyDescent="0.2">
      <c r="A31" s="76" t="s">
        <v>67</v>
      </c>
      <c r="B31" s="77"/>
      <c r="C31" s="77"/>
      <c r="D31" s="78">
        <v>0.01</v>
      </c>
      <c r="E31" s="78"/>
      <c r="F31" s="78"/>
      <c r="G31" s="78"/>
      <c r="H31" s="78"/>
      <c r="I31" s="79"/>
    </row>
    <row r="32" spans="1:9" ht="17.100000000000001" customHeight="1" x14ac:dyDescent="0.2">
      <c r="A32" s="84" t="s">
        <v>93</v>
      </c>
      <c r="B32" s="85"/>
      <c r="C32" s="86"/>
      <c r="D32" s="112"/>
      <c r="E32" s="108"/>
      <c r="F32" s="112"/>
      <c r="G32" s="108"/>
      <c r="H32" s="112"/>
      <c r="I32" s="113"/>
    </row>
    <row r="33" spans="1:9" ht="18" customHeight="1" x14ac:dyDescent="0.2">
      <c r="A33" s="76" t="s">
        <v>100</v>
      </c>
      <c r="B33" s="77"/>
      <c r="C33" s="77"/>
      <c r="D33" s="74"/>
      <c r="E33" s="74"/>
      <c r="F33" s="74"/>
      <c r="G33" s="74"/>
      <c r="H33" s="74"/>
      <c r="I33" s="75"/>
    </row>
    <row r="34" spans="1:9" ht="18" customHeight="1" thickBot="1" x14ac:dyDescent="0.25">
      <c r="A34" s="61" t="s">
        <v>99</v>
      </c>
      <c r="B34" s="62"/>
      <c r="C34" s="62"/>
      <c r="D34" s="106"/>
      <c r="E34" s="72"/>
      <c r="F34" s="72"/>
      <c r="G34" s="72"/>
      <c r="H34" s="72"/>
      <c r="I34" s="73"/>
    </row>
    <row r="35" spans="1:9" ht="8.25" customHeight="1" thickBot="1" x14ac:dyDescent="0.25">
      <c r="A35" s="58"/>
      <c r="B35" s="58"/>
      <c r="C35" s="58"/>
      <c r="D35" s="58"/>
      <c r="E35" s="58"/>
      <c r="F35" s="58"/>
      <c r="G35" s="58"/>
      <c r="H35" s="58"/>
      <c r="I35" s="58"/>
    </row>
    <row r="36" spans="1:9" ht="19.350000000000001" customHeight="1" x14ac:dyDescent="0.2">
      <c r="A36" s="145" t="s">
        <v>101</v>
      </c>
      <c r="B36" s="146"/>
      <c r="C36" s="147" t="s">
        <v>102</v>
      </c>
      <c r="D36" s="148"/>
      <c r="E36" s="148"/>
      <c r="F36" s="148"/>
      <c r="G36" s="148"/>
      <c r="H36" s="148"/>
      <c r="I36" s="149"/>
    </row>
    <row r="37" spans="1:9" ht="18" customHeight="1" thickBot="1" x14ac:dyDescent="0.25">
      <c r="A37" s="150" t="s">
        <v>74</v>
      </c>
      <c r="B37" s="151"/>
      <c r="C37" s="152" t="s">
        <v>103</v>
      </c>
      <c r="D37" s="153"/>
      <c r="E37" s="153"/>
      <c r="F37" s="153"/>
      <c r="G37" s="153"/>
      <c r="H37" s="153"/>
      <c r="I37" s="154"/>
    </row>
    <row r="38" spans="1:9" ht="22.35" customHeight="1" x14ac:dyDescent="0.2">
      <c r="A38" s="65" t="s">
        <v>75</v>
      </c>
      <c r="B38" s="67" t="s">
        <v>104</v>
      </c>
      <c r="C38" s="68"/>
      <c r="D38" s="68"/>
      <c r="E38" s="68"/>
      <c r="F38" s="68"/>
      <c r="G38" s="68"/>
      <c r="H38" s="68"/>
      <c r="I38" s="69"/>
    </row>
    <row r="39" spans="1:9" ht="69.599999999999994" customHeight="1" thickBot="1" x14ac:dyDescent="0.25">
      <c r="A39" s="66"/>
      <c r="B39" s="70"/>
      <c r="C39" s="70"/>
      <c r="D39" s="70"/>
      <c r="E39" s="70"/>
      <c r="F39" s="70"/>
      <c r="G39" s="70"/>
      <c r="H39" s="70"/>
      <c r="I39" s="71"/>
    </row>
    <row r="40" spans="1:9" ht="12.75" customHeight="1" x14ac:dyDescent="0.2">
      <c r="A40" s="46" t="s">
        <v>105</v>
      </c>
      <c r="B40" s="47"/>
      <c r="C40" s="47"/>
      <c r="D40" s="47"/>
      <c r="E40" s="47"/>
      <c r="F40" s="47"/>
      <c r="G40" s="47"/>
      <c r="H40" s="47"/>
      <c r="I40" s="48"/>
    </row>
    <row r="41" spans="1:9" ht="12.75" customHeight="1" x14ac:dyDescent="0.2">
      <c r="A41" s="49"/>
      <c r="B41" s="50"/>
      <c r="C41" s="50"/>
      <c r="D41" s="50"/>
      <c r="E41" s="50"/>
      <c r="F41" s="50"/>
      <c r="G41" s="50"/>
      <c r="H41" s="50"/>
      <c r="I41" s="51"/>
    </row>
    <row r="42" spans="1:9" ht="12.75" customHeight="1" x14ac:dyDescent="0.2">
      <c r="A42" s="49"/>
      <c r="B42" s="50"/>
      <c r="C42" s="50"/>
      <c r="D42" s="50"/>
      <c r="E42" s="50"/>
      <c r="F42" s="50"/>
      <c r="G42" s="50"/>
      <c r="H42" s="50"/>
      <c r="I42" s="51"/>
    </row>
    <row r="43" spans="1:9" ht="12.75" customHeight="1" x14ac:dyDescent="0.2">
      <c r="A43" s="52"/>
      <c r="B43" s="53"/>
      <c r="C43" s="53"/>
      <c r="D43" s="53"/>
      <c r="E43" s="53"/>
      <c r="F43" s="53"/>
      <c r="G43" s="53"/>
      <c r="H43" s="53"/>
      <c r="I43" s="54"/>
    </row>
    <row r="44" spans="1:9" ht="14.1" customHeight="1" thickBot="1" x14ac:dyDescent="0.25">
      <c r="A44" s="55"/>
      <c r="B44" s="56"/>
      <c r="C44" s="56"/>
      <c r="D44" s="56"/>
      <c r="E44" s="56"/>
      <c r="F44" s="56"/>
      <c r="G44" s="56"/>
      <c r="H44" s="56"/>
      <c r="I44" s="57"/>
    </row>
  </sheetData>
  <mergeCells count="105">
    <mergeCell ref="A30:C30"/>
    <mergeCell ref="D30:E30"/>
    <mergeCell ref="F30:G30"/>
    <mergeCell ref="H30:I30"/>
    <mergeCell ref="A34:C34"/>
    <mergeCell ref="D34:E34"/>
    <mergeCell ref="F34:G34"/>
    <mergeCell ref="H34:I34"/>
    <mergeCell ref="A24:C24"/>
    <mergeCell ref="D24:E24"/>
    <mergeCell ref="F24:G24"/>
    <mergeCell ref="H24:I24"/>
    <mergeCell ref="A28:C28"/>
    <mergeCell ref="D28:E28"/>
    <mergeCell ref="F28:G28"/>
    <mergeCell ref="H28:I28"/>
    <mergeCell ref="A25:I25"/>
    <mergeCell ref="A26:C26"/>
    <mergeCell ref="D26:I26"/>
    <mergeCell ref="A27:C27"/>
    <mergeCell ref="D27:E27"/>
    <mergeCell ref="F27:G27"/>
    <mergeCell ref="H27:I27"/>
    <mergeCell ref="A40:I44"/>
    <mergeCell ref="A35:I35"/>
    <mergeCell ref="A36:B36"/>
    <mergeCell ref="C36:I36"/>
    <mergeCell ref="A37:B37"/>
    <mergeCell ref="C37:I37"/>
    <mergeCell ref="A38:A39"/>
    <mergeCell ref="B38:I39"/>
    <mergeCell ref="A29:C29"/>
    <mergeCell ref="D29:E29"/>
    <mergeCell ref="F29:G29"/>
    <mergeCell ref="H29:I29"/>
    <mergeCell ref="A33:C33"/>
    <mergeCell ref="D33:E33"/>
    <mergeCell ref="F33:G33"/>
    <mergeCell ref="H33:I33"/>
    <mergeCell ref="A32:C32"/>
    <mergeCell ref="D32:E32"/>
    <mergeCell ref="F32:G32"/>
    <mergeCell ref="H32:I32"/>
    <mergeCell ref="A31:C31"/>
    <mergeCell ref="D31:E31"/>
    <mergeCell ref="F31:G31"/>
    <mergeCell ref="H31:I31"/>
    <mergeCell ref="A23:C23"/>
    <mergeCell ref="A22:C22"/>
    <mergeCell ref="D22:E22"/>
    <mergeCell ref="F22:G22"/>
    <mergeCell ref="H22:I22"/>
    <mergeCell ref="A21:C21"/>
    <mergeCell ref="D21:E21"/>
    <mergeCell ref="F21:G21"/>
    <mergeCell ref="H21:I21"/>
    <mergeCell ref="D23:E23"/>
    <mergeCell ref="F23:G23"/>
    <mergeCell ref="H23:I23"/>
    <mergeCell ref="A20:C20"/>
    <mergeCell ref="D20:E20"/>
    <mergeCell ref="F20:G20"/>
    <mergeCell ref="H20:I20"/>
    <mergeCell ref="A19:C19"/>
    <mergeCell ref="D19:E19"/>
    <mergeCell ref="F19:G19"/>
    <mergeCell ref="H19:I19"/>
    <mergeCell ref="A15:C15"/>
    <mergeCell ref="D15:E15"/>
    <mergeCell ref="F15:G15"/>
    <mergeCell ref="H15:I15"/>
    <mergeCell ref="A18:C18"/>
    <mergeCell ref="D18:E18"/>
    <mergeCell ref="F18:G18"/>
    <mergeCell ref="H18:I18"/>
    <mergeCell ref="A16:C16"/>
    <mergeCell ref="D16:E16"/>
    <mergeCell ref="F16:G16"/>
    <mergeCell ref="H16:I16"/>
    <mergeCell ref="A17:C17"/>
    <mergeCell ref="D17:E17"/>
    <mergeCell ref="F17:G17"/>
    <mergeCell ref="H17:I17"/>
    <mergeCell ref="A14:C14"/>
    <mergeCell ref="D14:E14"/>
    <mergeCell ref="F14:G14"/>
    <mergeCell ref="H14:I14"/>
    <mergeCell ref="A1:I1"/>
    <mergeCell ref="A2:I2"/>
    <mergeCell ref="A3:I3"/>
    <mergeCell ref="A4:I4"/>
    <mergeCell ref="A5:A6"/>
    <mergeCell ref="B5:D6"/>
    <mergeCell ref="E5:F6"/>
    <mergeCell ref="G5:I6"/>
    <mergeCell ref="A7:I7"/>
    <mergeCell ref="A8:A10"/>
    <mergeCell ref="B8:I10"/>
    <mergeCell ref="A11:I11"/>
    <mergeCell ref="A12:C12"/>
    <mergeCell ref="D12:I12"/>
    <mergeCell ref="A13:C13"/>
    <mergeCell ref="D13:E13"/>
    <mergeCell ref="F13:G13"/>
    <mergeCell ref="H13:I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Check Box 1">
              <controlPr defaultSize="0" autoFill="0" autoLine="0" autoPict="0">
                <anchor moveWithCells="1">
                  <from>
                    <xdr:col>1</xdr:col>
                    <xdr:colOff>247650</xdr:colOff>
                    <xdr:row>7</xdr:row>
                    <xdr:rowOff>0</xdr:rowOff>
                  </from>
                  <to>
                    <xdr:col>3</xdr:col>
                    <xdr:colOff>542925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Check Box 2">
              <controlPr defaultSize="0" autoFill="0" autoLine="0" autoPict="0">
                <anchor moveWithCells="1">
                  <from>
                    <xdr:col>4</xdr:col>
                    <xdr:colOff>333375</xdr:colOff>
                    <xdr:row>7</xdr:row>
                    <xdr:rowOff>0</xdr:rowOff>
                  </from>
                  <to>
                    <xdr:col>5</xdr:col>
                    <xdr:colOff>390525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FC1E-4096-4116-829D-A0784C857D88}">
  <sheetPr codeName="Sheet16"/>
  <dimension ref="A1:I44"/>
  <sheetViews>
    <sheetView topLeftCell="A16" workbookViewId="0">
      <selection activeCell="A32" sqref="A32:C32"/>
    </sheetView>
  </sheetViews>
  <sheetFormatPr defaultRowHeight="14.25" x14ac:dyDescent="0.2"/>
  <cols>
    <col min="1" max="1" width="10" customWidth="1"/>
    <col min="2" max="2" width="8.75" customWidth="1"/>
    <col min="3" max="3" width="9.75" customWidth="1"/>
    <col min="4" max="4" width="8.5" customWidth="1"/>
    <col min="5" max="5" width="12.625" customWidth="1"/>
    <col min="6" max="6" width="8.875" customWidth="1"/>
    <col min="7" max="7" width="12.75" customWidth="1"/>
    <col min="8" max="8" width="3" customWidth="1"/>
    <col min="9" max="9" width="20.75" customWidth="1"/>
  </cols>
  <sheetData>
    <row r="1" spans="1:9" ht="60" customHeight="1" x14ac:dyDescent="0.2">
      <c r="A1" s="87"/>
      <c r="B1" s="87"/>
      <c r="C1" s="87"/>
      <c r="D1" s="87"/>
      <c r="E1" s="87"/>
      <c r="F1" s="87"/>
      <c r="G1" s="87"/>
      <c r="H1" s="87"/>
      <c r="I1" s="87"/>
    </row>
    <row r="2" spans="1:9" ht="15.75" customHeight="1" x14ac:dyDescent="0.2">
      <c r="A2" s="88" t="s">
        <v>55</v>
      </c>
      <c r="B2" s="88"/>
      <c r="C2" s="88"/>
      <c r="D2" s="88"/>
      <c r="E2" s="88"/>
      <c r="F2" s="88"/>
      <c r="G2" s="88"/>
      <c r="H2" s="88"/>
      <c r="I2" s="88"/>
    </row>
    <row r="3" spans="1:9" ht="14.25" customHeight="1" x14ac:dyDescent="0.2">
      <c r="A3" s="110" t="s">
        <v>78</v>
      </c>
      <c r="B3" s="111"/>
      <c r="C3" s="111"/>
      <c r="D3" s="111"/>
      <c r="E3" s="111"/>
      <c r="F3" s="111"/>
      <c r="G3" s="111"/>
      <c r="H3" s="111"/>
      <c r="I3" s="111"/>
    </row>
    <row r="4" spans="1:9" ht="8.25" customHeight="1" thickBot="1" x14ac:dyDescent="0.25">
      <c r="A4" s="91"/>
      <c r="B4" s="91"/>
      <c r="C4" s="91"/>
      <c r="D4" s="91"/>
      <c r="E4" s="91"/>
      <c r="F4" s="91"/>
      <c r="G4" s="91"/>
      <c r="H4" s="91"/>
      <c r="I4" s="91"/>
    </row>
    <row r="5" spans="1:9" ht="12.75" customHeight="1" x14ac:dyDescent="0.2">
      <c r="A5" s="65" t="s">
        <v>57</v>
      </c>
      <c r="B5" s="60" t="s">
        <v>58</v>
      </c>
      <c r="C5" s="60"/>
      <c r="D5" s="60"/>
      <c r="E5" s="60" t="s">
        <v>59</v>
      </c>
      <c r="F5" s="60"/>
      <c r="G5" s="60" t="s">
        <v>60</v>
      </c>
      <c r="H5" s="60"/>
      <c r="I5" s="63"/>
    </row>
    <row r="6" spans="1:9" ht="12.75" customHeight="1" thickBot="1" x14ac:dyDescent="0.25">
      <c r="A6" s="66"/>
      <c r="B6" s="62"/>
      <c r="C6" s="62"/>
      <c r="D6" s="62"/>
      <c r="E6" s="62"/>
      <c r="F6" s="62"/>
      <c r="G6" s="62"/>
      <c r="H6" s="62"/>
      <c r="I6" s="64"/>
    </row>
    <row r="7" spans="1:9" ht="6.75" customHeight="1" thickBot="1" x14ac:dyDescent="0.25">
      <c r="A7" s="92"/>
      <c r="B7" s="92"/>
      <c r="C7" s="92"/>
      <c r="D7" s="92"/>
      <c r="E7" s="92"/>
      <c r="F7" s="92"/>
      <c r="G7" s="92"/>
      <c r="H7" s="92"/>
      <c r="I7" s="92"/>
    </row>
    <row r="8" spans="1:9" ht="12.75" customHeight="1" x14ac:dyDescent="0.2">
      <c r="A8" s="59" t="s">
        <v>61</v>
      </c>
      <c r="B8" s="47" t="s">
        <v>117</v>
      </c>
      <c r="C8" s="60"/>
      <c r="D8" s="60"/>
      <c r="E8" s="60"/>
      <c r="F8" s="60"/>
      <c r="G8" s="60"/>
      <c r="H8" s="60"/>
      <c r="I8" s="63"/>
    </row>
    <row r="9" spans="1:9" ht="4.3499999999999996" customHeight="1" x14ac:dyDescent="0.2">
      <c r="A9" s="76"/>
      <c r="B9" s="77"/>
      <c r="C9" s="77"/>
      <c r="D9" s="77"/>
      <c r="E9" s="77"/>
      <c r="F9" s="77"/>
      <c r="G9" s="77"/>
      <c r="H9" s="77"/>
      <c r="I9" s="95"/>
    </row>
    <row r="10" spans="1:9" ht="7.35" customHeight="1" thickBot="1" x14ac:dyDescent="0.25">
      <c r="A10" s="61"/>
      <c r="B10" s="62"/>
      <c r="C10" s="62"/>
      <c r="D10" s="62"/>
      <c r="E10" s="62"/>
      <c r="F10" s="62"/>
      <c r="G10" s="62"/>
      <c r="H10" s="62"/>
      <c r="I10" s="64"/>
    </row>
    <row r="11" spans="1:9" ht="7.5" customHeight="1" thickBot="1" x14ac:dyDescent="0.25">
      <c r="A11" s="58"/>
      <c r="B11" s="58"/>
      <c r="C11" s="58"/>
      <c r="D11" s="58"/>
      <c r="E11" s="58"/>
      <c r="F11" s="58"/>
      <c r="G11" s="58"/>
      <c r="H11" s="58"/>
      <c r="I11" s="58"/>
    </row>
    <row r="12" spans="1:9" ht="18.75" customHeight="1" x14ac:dyDescent="0.2">
      <c r="A12" s="140" t="s">
        <v>79</v>
      </c>
      <c r="B12" s="141"/>
      <c r="C12" s="141"/>
      <c r="D12" s="103" t="s">
        <v>92</v>
      </c>
      <c r="E12" s="81"/>
      <c r="F12" s="81"/>
      <c r="G12" s="81"/>
      <c r="H12" s="81"/>
      <c r="I12" s="82"/>
    </row>
    <row r="13" spans="1:9" ht="18.75" customHeight="1" x14ac:dyDescent="0.2">
      <c r="A13" s="76" t="s">
        <v>62</v>
      </c>
      <c r="B13" s="77"/>
      <c r="C13" s="77"/>
      <c r="D13" s="112">
        <v>4</v>
      </c>
      <c r="E13" s="108"/>
      <c r="F13" s="112">
        <v>5</v>
      </c>
      <c r="G13" s="108"/>
      <c r="H13" s="112"/>
      <c r="I13" s="113"/>
    </row>
    <row r="14" spans="1:9" ht="39" customHeight="1" x14ac:dyDescent="0.2">
      <c r="A14" s="76" t="s">
        <v>81</v>
      </c>
      <c r="B14" s="77"/>
      <c r="C14" s="77"/>
      <c r="D14" s="74"/>
      <c r="E14" s="74"/>
      <c r="F14" s="74"/>
      <c r="G14" s="74"/>
      <c r="H14" s="74"/>
      <c r="I14" s="75"/>
    </row>
    <row r="15" spans="1:9" ht="17.45" customHeight="1" x14ac:dyDescent="0.2">
      <c r="A15" s="76" t="s">
        <v>65</v>
      </c>
      <c r="B15" s="77"/>
      <c r="C15" s="77"/>
      <c r="D15" s="83">
        <v>99.918301112496891</v>
      </c>
      <c r="E15" s="83"/>
      <c r="F15" s="83">
        <v>99.918301112496891</v>
      </c>
      <c r="G15" s="83"/>
      <c r="H15" s="83"/>
      <c r="I15" s="99"/>
    </row>
    <row r="16" spans="1:9" ht="17.45" customHeight="1" x14ac:dyDescent="0.2">
      <c r="A16" s="76" t="s">
        <v>66</v>
      </c>
      <c r="B16" s="77"/>
      <c r="C16" s="77"/>
      <c r="D16" s="155">
        <v>1.1944444444444447E-2</v>
      </c>
      <c r="E16" s="155"/>
      <c r="F16" s="155">
        <v>1.1944444444444447E-2</v>
      </c>
      <c r="G16" s="155"/>
      <c r="H16" s="155"/>
      <c r="I16" s="156"/>
    </row>
    <row r="17" spans="1:9" ht="17.45" customHeight="1" x14ac:dyDescent="0.2">
      <c r="A17" s="76" t="s">
        <v>67</v>
      </c>
      <c r="B17" s="77"/>
      <c r="C17" s="77"/>
      <c r="D17" s="155">
        <v>0.01</v>
      </c>
      <c r="E17" s="155"/>
      <c r="F17" s="155">
        <v>0.01</v>
      </c>
      <c r="G17" s="155"/>
      <c r="H17" s="155"/>
      <c r="I17" s="156"/>
    </row>
    <row r="18" spans="1:9" ht="17.45" customHeight="1" x14ac:dyDescent="0.2">
      <c r="A18" s="84" t="s">
        <v>93</v>
      </c>
      <c r="B18" s="85"/>
      <c r="C18" s="86"/>
      <c r="D18" s="112"/>
      <c r="E18" s="108"/>
      <c r="F18" s="112"/>
      <c r="G18" s="108"/>
      <c r="H18" s="112"/>
      <c r="I18" s="113"/>
    </row>
    <row r="19" spans="1:9" ht="18.600000000000001" customHeight="1" x14ac:dyDescent="0.2">
      <c r="A19" s="76" t="s">
        <v>94</v>
      </c>
      <c r="B19" s="77"/>
      <c r="C19" s="77"/>
      <c r="D19" s="74"/>
      <c r="E19" s="74"/>
      <c r="F19" s="74"/>
      <c r="G19" s="74"/>
      <c r="H19" s="74"/>
      <c r="I19" s="75"/>
    </row>
    <row r="20" spans="1:9" ht="16.5" customHeight="1" x14ac:dyDescent="0.2">
      <c r="A20" s="76" t="s">
        <v>96</v>
      </c>
      <c r="B20" s="77"/>
      <c r="C20" s="77"/>
      <c r="D20" s="74"/>
      <c r="E20" s="74"/>
      <c r="F20" s="74"/>
      <c r="G20" s="74"/>
      <c r="H20" s="74"/>
      <c r="I20" s="75"/>
    </row>
    <row r="21" spans="1:9" ht="16.5" customHeight="1" x14ac:dyDescent="0.2">
      <c r="A21" s="76" t="s">
        <v>106</v>
      </c>
      <c r="B21" s="77"/>
      <c r="C21" s="77"/>
      <c r="D21" s="74"/>
      <c r="E21" s="74"/>
      <c r="F21" s="74"/>
      <c r="G21" s="74"/>
      <c r="H21" s="74"/>
      <c r="I21" s="75"/>
    </row>
    <row r="22" spans="1:9" ht="16.5" customHeight="1" thickBot="1" x14ac:dyDescent="0.25">
      <c r="A22" s="157" t="s">
        <v>99</v>
      </c>
      <c r="B22" s="158"/>
      <c r="C22" s="158"/>
      <c r="D22" s="105"/>
      <c r="E22" s="106"/>
      <c r="F22" s="105"/>
      <c r="G22" s="106"/>
      <c r="H22" s="105"/>
      <c r="I22" s="107"/>
    </row>
    <row r="23" spans="1:9" ht="7.5" customHeight="1" thickBot="1" x14ac:dyDescent="0.25">
      <c r="A23" s="58"/>
      <c r="B23" s="58"/>
      <c r="C23" s="58"/>
      <c r="D23" s="58"/>
      <c r="E23" s="58"/>
      <c r="F23" s="58"/>
      <c r="G23" s="58"/>
      <c r="H23" s="58"/>
      <c r="I23" s="58"/>
    </row>
    <row r="24" spans="1:9" ht="18" customHeight="1" x14ac:dyDescent="0.2">
      <c r="A24" s="59" t="s">
        <v>79</v>
      </c>
      <c r="B24" s="60"/>
      <c r="C24" s="60"/>
      <c r="D24" s="103" t="s">
        <v>88</v>
      </c>
      <c r="E24" s="81"/>
      <c r="F24" s="81"/>
      <c r="G24" s="81"/>
      <c r="H24" s="81"/>
      <c r="I24" s="82"/>
    </row>
    <row r="25" spans="1:9" ht="18" customHeight="1" x14ac:dyDescent="0.2">
      <c r="A25" s="84" t="s">
        <v>62</v>
      </c>
      <c r="B25" s="85"/>
      <c r="C25" s="86"/>
      <c r="D25" s="112">
        <v>4</v>
      </c>
      <c r="E25" s="108"/>
      <c r="F25" s="112">
        <v>5</v>
      </c>
      <c r="G25" s="108"/>
      <c r="H25" s="112"/>
      <c r="I25" s="113"/>
    </row>
    <row r="26" spans="1:9" ht="38.25" customHeight="1" x14ac:dyDescent="0.2">
      <c r="A26" s="76" t="s">
        <v>81</v>
      </c>
      <c r="B26" s="77"/>
      <c r="C26" s="77"/>
      <c r="D26" s="74"/>
      <c r="E26" s="74"/>
      <c r="F26" s="74"/>
      <c r="G26" s="74"/>
      <c r="H26" s="74"/>
      <c r="I26" s="75"/>
    </row>
    <row r="27" spans="1:9" ht="17.45" customHeight="1" x14ac:dyDescent="0.2">
      <c r="A27" s="76" t="s">
        <v>65</v>
      </c>
      <c r="B27" s="77"/>
      <c r="C27" s="77"/>
      <c r="D27" s="83">
        <v>99.918301112496891</v>
      </c>
      <c r="E27" s="83"/>
      <c r="F27" s="83">
        <v>99.918301112496891</v>
      </c>
      <c r="G27" s="83"/>
      <c r="H27" s="83"/>
      <c r="I27" s="99"/>
    </row>
    <row r="28" spans="1:9" ht="17.45" customHeight="1" x14ac:dyDescent="0.2">
      <c r="A28" s="76" t="s">
        <v>66</v>
      </c>
      <c r="B28" s="77"/>
      <c r="C28" s="77"/>
      <c r="D28" s="155">
        <v>1.1944444444444447E-2</v>
      </c>
      <c r="E28" s="155"/>
      <c r="F28" s="155">
        <v>1.1944444444444447E-2</v>
      </c>
      <c r="G28" s="155"/>
      <c r="H28" s="155"/>
      <c r="I28" s="156"/>
    </row>
    <row r="29" spans="1:9" ht="17.45" customHeight="1" x14ac:dyDescent="0.2">
      <c r="A29" s="76" t="s">
        <v>67</v>
      </c>
      <c r="B29" s="77"/>
      <c r="C29" s="77"/>
      <c r="D29" s="155">
        <v>0.01</v>
      </c>
      <c r="E29" s="155"/>
      <c r="F29" s="155">
        <v>0.01</v>
      </c>
      <c r="G29" s="155"/>
      <c r="H29" s="155"/>
      <c r="I29" s="156"/>
    </row>
    <row r="30" spans="1:9" ht="17.45" customHeight="1" x14ac:dyDescent="0.2">
      <c r="A30" s="84" t="s">
        <v>93</v>
      </c>
      <c r="B30" s="85"/>
      <c r="C30" s="86"/>
      <c r="D30" s="159"/>
      <c r="E30" s="160"/>
      <c r="F30" s="159"/>
      <c r="G30" s="160"/>
      <c r="H30" s="159"/>
      <c r="I30" s="161"/>
    </row>
    <row r="31" spans="1:9" ht="18.600000000000001" customHeight="1" x14ac:dyDescent="0.2">
      <c r="A31" s="76" t="s">
        <v>94</v>
      </c>
      <c r="B31" s="77"/>
      <c r="C31" s="77"/>
      <c r="D31" s="74"/>
      <c r="E31" s="74"/>
      <c r="F31" s="74"/>
      <c r="G31" s="74"/>
      <c r="H31" s="74"/>
      <c r="I31" s="75"/>
    </row>
    <row r="32" spans="1:9" ht="16.5" customHeight="1" x14ac:dyDescent="0.2">
      <c r="A32" s="76" t="s">
        <v>96</v>
      </c>
      <c r="B32" s="77"/>
      <c r="C32" s="77"/>
      <c r="D32" s="74"/>
      <c r="E32" s="74"/>
      <c r="F32" s="74"/>
      <c r="G32" s="74"/>
      <c r="H32" s="74"/>
      <c r="I32" s="75"/>
    </row>
    <row r="33" spans="1:9" ht="16.5" customHeight="1" x14ac:dyDescent="0.2">
      <c r="A33" s="76" t="s">
        <v>106</v>
      </c>
      <c r="B33" s="77"/>
      <c r="C33" s="77"/>
      <c r="D33" s="74"/>
      <c r="E33" s="74"/>
      <c r="F33" s="74"/>
      <c r="G33" s="74"/>
      <c r="H33" s="74"/>
      <c r="I33" s="75"/>
    </row>
    <row r="34" spans="1:9" ht="16.5" customHeight="1" thickBot="1" x14ac:dyDescent="0.25">
      <c r="A34" s="157" t="s">
        <v>99</v>
      </c>
      <c r="B34" s="158"/>
      <c r="C34" s="158"/>
      <c r="D34" s="105"/>
      <c r="E34" s="106"/>
      <c r="F34" s="105"/>
      <c r="G34" s="106"/>
      <c r="H34" s="105"/>
      <c r="I34" s="107"/>
    </row>
    <row r="35" spans="1:9" ht="8.25" customHeight="1" thickBot="1" x14ac:dyDescent="0.25">
      <c r="A35" s="58"/>
      <c r="B35" s="58"/>
      <c r="C35" s="58"/>
      <c r="D35" s="58"/>
      <c r="E35" s="58"/>
      <c r="F35" s="58"/>
      <c r="G35" s="58"/>
      <c r="H35" s="58"/>
      <c r="I35" s="58"/>
    </row>
    <row r="36" spans="1:9" ht="19.350000000000001" customHeight="1" x14ac:dyDescent="0.2">
      <c r="A36" s="145" t="s">
        <v>101</v>
      </c>
      <c r="B36" s="146"/>
      <c r="C36" s="147" t="s">
        <v>107</v>
      </c>
      <c r="D36" s="148"/>
      <c r="E36" s="148"/>
      <c r="F36" s="148"/>
      <c r="G36" s="148"/>
      <c r="H36" s="148"/>
      <c r="I36" s="149"/>
    </row>
    <row r="37" spans="1:9" ht="18" customHeight="1" thickBot="1" x14ac:dyDescent="0.25">
      <c r="A37" s="150" t="s">
        <v>74</v>
      </c>
      <c r="B37" s="151"/>
      <c r="C37" s="152" t="s">
        <v>103</v>
      </c>
      <c r="D37" s="153"/>
      <c r="E37" s="153"/>
      <c r="F37" s="153"/>
      <c r="G37" s="153"/>
      <c r="H37" s="153"/>
      <c r="I37" s="154"/>
    </row>
    <row r="38" spans="1:9" ht="22.35" customHeight="1" x14ac:dyDescent="0.2">
      <c r="A38" s="65" t="s">
        <v>75</v>
      </c>
      <c r="B38" s="67" t="s">
        <v>108</v>
      </c>
      <c r="C38" s="68"/>
      <c r="D38" s="68"/>
      <c r="E38" s="68"/>
      <c r="F38" s="68"/>
      <c r="G38" s="68"/>
      <c r="H38" s="68"/>
      <c r="I38" s="69"/>
    </row>
    <row r="39" spans="1:9" ht="78.75" customHeight="1" thickBot="1" x14ac:dyDescent="0.25">
      <c r="A39" s="66"/>
      <c r="B39" s="70"/>
      <c r="C39" s="70"/>
      <c r="D39" s="70"/>
      <c r="E39" s="70"/>
      <c r="F39" s="70"/>
      <c r="G39" s="70"/>
      <c r="H39" s="70"/>
      <c r="I39" s="71"/>
    </row>
    <row r="40" spans="1:9" ht="12.75" customHeight="1" x14ac:dyDescent="0.2">
      <c r="A40" s="46" t="s">
        <v>105</v>
      </c>
      <c r="B40" s="47"/>
      <c r="C40" s="47"/>
      <c r="D40" s="47"/>
      <c r="E40" s="47"/>
      <c r="F40" s="47"/>
      <c r="G40" s="47"/>
      <c r="H40" s="47"/>
      <c r="I40" s="48"/>
    </row>
    <row r="41" spans="1:9" ht="12.75" customHeight="1" x14ac:dyDescent="0.2">
      <c r="A41" s="49"/>
      <c r="B41" s="50"/>
      <c r="C41" s="50"/>
      <c r="D41" s="50"/>
      <c r="E41" s="50"/>
      <c r="F41" s="50"/>
      <c r="G41" s="50"/>
      <c r="H41" s="50"/>
      <c r="I41" s="51"/>
    </row>
    <row r="42" spans="1:9" ht="12.75" customHeight="1" x14ac:dyDescent="0.2">
      <c r="A42" s="49"/>
      <c r="B42" s="50"/>
      <c r="C42" s="50"/>
      <c r="D42" s="50"/>
      <c r="E42" s="50"/>
      <c r="F42" s="50"/>
      <c r="G42" s="50"/>
      <c r="H42" s="50"/>
      <c r="I42" s="51"/>
    </row>
    <row r="43" spans="1:9" ht="12.75" customHeight="1" x14ac:dyDescent="0.2">
      <c r="A43" s="52"/>
      <c r="B43" s="53"/>
      <c r="C43" s="53"/>
      <c r="D43" s="53"/>
      <c r="E43" s="53"/>
      <c r="F43" s="53"/>
      <c r="G43" s="53"/>
      <c r="H43" s="53"/>
      <c r="I43" s="54"/>
    </row>
    <row r="44" spans="1:9" ht="14.1" customHeight="1" thickBot="1" x14ac:dyDescent="0.25">
      <c r="A44" s="55"/>
      <c r="B44" s="56"/>
      <c r="C44" s="56"/>
      <c r="D44" s="56"/>
      <c r="E44" s="56"/>
      <c r="F44" s="56"/>
      <c r="G44" s="56"/>
      <c r="H44" s="56"/>
      <c r="I44" s="57"/>
    </row>
  </sheetData>
  <mergeCells count="105">
    <mergeCell ref="A31:C31"/>
    <mergeCell ref="D31:E31"/>
    <mergeCell ref="F31:G31"/>
    <mergeCell ref="H31:I31"/>
    <mergeCell ref="A30:C30"/>
    <mergeCell ref="D30:E30"/>
    <mergeCell ref="F30:G30"/>
    <mergeCell ref="H30:I30"/>
    <mergeCell ref="A29:C29"/>
    <mergeCell ref="D29:E29"/>
    <mergeCell ref="F29:G29"/>
    <mergeCell ref="H29:I29"/>
    <mergeCell ref="A38:A39"/>
    <mergeCell ref="B38:I39"/>
    <mergeCell ref="A40:I44"/>
    <mergeCell ref="A36:B36"/>
    <mergeCell ref="C36:I36"/>
    <mergeCell ref="A32:C32"/>
    <mergeCell ref="D32:E32"/>
    <mergeCell ref="F32:G32"/>
    <mergeCell ref="H32:I32"/>
    <mergeCell ref="A33:C33"/>
    <mergeCell ref="D33:E33"/>
    <mergeCell ref="F33:G33"/>
    <mergeCell ref="H33:I33"/>
    <mergeCell ref="A34:C34"/>
    <mergeCell ref="D34:E34"/>
    <mergeCell ref="F34:G34"/>
    <mergeCell ref="H34:I34"/>
    <mergeCell ref="A35:I35"/>
    <mergeCell ref="A37:B37"/>
    <mergeCell ref="C37:I37"/>
    <mergeCell ref="A25:C25"/>
    <mergeCell ref="D25:E25"/>
    <mergeCell ref="F25:G25"/>
    <mergeCell ref="H25:I25"/>
    <mergeCell ref="A26:C26"/>
    <mergeCell ref="D26:E26"/>
    <mergeCell ref="F26:G26"/>
    <mergeCell ref="H26:I26"/>
    <mergeCell ref="A28:C28"/>
    <mergeCell ref="D28:E28"/>
    <mergeCell ref="F28:G28"/>
    <mergeCell ref="H28:I28"/>
    <mergeCell ref="A27:C27"/>
    <mergeCell ref="D27:E27"/>
    <mergeCell ref="F27:G27"/>
    <mergeCell ref="H27:I27"/>
    <mergeCell ref="A24:C24"/>
    <mergeCell ref="D24:I24"/>
    <mergeCell ref="A20:C20"/>
    <mergeCell ref="D20:E20"/>
    <mergeCell ref="F20:G20"/>
    <mergeCell ref="H20:I20"/>
    <mergeCell ref="A21:C21"/>
    <mergeCell ref="D21:E21"/>
    <mergeCell ref="F21:G21"/>
    <mergeCell ref="H21:I21"/>
    <mergeCell ref="A22:C22"/>
    <mergeCell ref="D22:E22"/>
    <mergeCell ref="F22:G22"/>
    <mergeCell ref="H22:I22"/>
    <mergeCell ref="A23:I23"/>
    <mergeCell ref="A15:C15"/>
    <mergeCell ref="D15:E15"/>
    <mergeCell ref="F15:G15"/>
    <mergeCell ref="H15:I15"/>
    <mergeCell ref="A19:C19"/>
    <mergeCell ref="D19:E19"/>
    <mergeCell ref="F19:G19"/>
    <mergeCell ref="H19:I19"/>
    <mergeCell ref="A18:C18"/>
    <mergeCell ref="D18:E18"/>
    <mergeCell ref="F18:G18"/>
    <mergeCell ref="H18:I18"/>
    <mergeCell ref="A16:C16"/>
    <mergeCell ref="D16:E16"/>
    <mergeCell ref="F16:G16"/>
    <mergeCell ref="H16:I16"/>
    <mergeCell ref="A17:C17"/>
    <mergeCell ref="D17:E17"/>
    <mergeCell ref="F17:G17"/>
    <mergeCell ref="H17:I17"/>
    <mergeCell ref="A14:C14"/>
    <mergeCell ref="D14:E14"/>
    <mergeCell ref="F14:G14"/>
    <mergeCell ref="H14:I14"/>
    <mergeCell ref="A7:I7"/>
    <mergeCell ref="A8:A10"/>
    <mergeCell ref="B8:I10"/>
    <mergeCell ref="A11:I11"/>
    <mergeCell ref="A12:C12"/>
    <mergeCell ref="D12:I12"/>
    <mergeCell ref="A1:I1"/>
    <mergeCell ref="A2:I2"/>
    <mergeCell ref="A3:I3"/>
    <mergeCell ref="A4:I4"/>
    <mergeCell ref="A5:A6"/>
    <mergeCell ref="B5:D6"/>
    <mergeCell ref="E5:F6"/>
    <mergeCell ref="G5:I6"/>
    <mergeCell ref="A13:C13"/>
    <mergeCell ref="D13:E13"/>
    <mergeCell ref="F13:G13"/>
    <mergeCell ref="H13:I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Check Box 1">
              <controlPr defaultSize="0" autoFill="0" autoLine="0" autoPict="0">
                <anchor moveWithCells="1">
                  <from>
                    <xdr:col>1</xdr:col>
                    <xdr:colOff>314325</xdr:colOff>
                    <xdr:row>7</xdr:row>
                    <xdr:rowOff>9525</xdr:rowOff>
                  </from>
                  <to>
                    <xdr:col>3</xdr:col>
                    <xdr:colOff>152400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D8ACF-6D3D-4989-93B3-727EBC25C6F7}">
  <sheetPr codeName="Sheet2"/>
  <dimension ref="A1:AJ81"/>
  <sheetViews>
    <sheetView topLeftCell="A43" workbookViewId="0">
      <selection activeCell="A55" sqref="A55"/>
    </sheetView>
  </sheetViews>
  <sheetFormatPr defaultRowHeight="14.25" x14ac:dyDescent="0.2"/>
  <cols>
    <col min="10" max="10" width="12.75" customWidth="1"/>
    <col min="12" max="12" width="12.625" customWidth="1"/>
    <col min="14" max="14" width="12.25" customWidth="1"/>
  </cols>
  <sheetData>
    <row r="1" spans="1:25" ht="18" x14ac:dyDescent="0.3">
      <c r="A1" t="s">
        <v>0</v>
      </c>
      <c r="I1" t="s">
        <v>29</v>
      </c>
      <c r="Q1" t="s">
        <v>5</v>
      </c>
    </row>
    <row r="2" spans="1:25" ht="16.5" x14ac:dyDescent="0.2">
      <c r="A2" t="s">
        <v>2</v>
      </c>
      <c r="B2" t="s">
        <v>3</v>
      </c>
      <c r="C2" t="s">
        <v>2</v>
      </c>
      <c r="D2" t="s">
        <v>3</v>
      </c>
      <c r="E2" t="s">
        <v>2</v>
      </c>
      <c r="F2" t="s">
        <v>3</v>
      </c>
      <c r="I2" t="s">
        <v>2</v>
      </c>
      <c r="J2" t="s">
        <v>4</v>
      </c>
      <c r="K2" t="s">
        <v>2</v>
      </c>
      <c r="L2" t="s">
        <v>4</v>
      </c>
      <c r="M2" t="s">
        <v>2</v>
      </c>
      <c r="N2" t="s">
        <v>4</v>
      </c>
      <c r="R2" t="s">
        <v>7</v>
      </c>
      <c r="T2" t="s">
        <v>8</v>
      </c>
      <c r="V2" t="s">
        <v>9</v>
      </c>
      <c r="X2" t="s">
        <v>10</v>
      </c>
    </row>
    <row r="3" spans="1:25" x14ac:dyDescent="0.2">
      <c r="A3">
        <v>280</v>
      </c>
      <c r="B3" s="1">
        <v>1</v>
      </c>
      <c r="C3">
        <v>320</v>
      </c>
      <c r="D3" s="1">
        <v>8.5500000000000003E-3</v>
      </c>
      <c r="E3">
        <v>360</v>
      </c>
      <c r="F3" s="1">
        <v>4.84E-4</v>
      </c>
      <c r="I3">
        <v>280</v>
      </c>
      <c r="J3" s="1">
        <v>4.1199999999999997E-11</v>
      </c>
      <c r="K3">
        <v>320</v>
      </c>
      <c r="L3" s="1">
        <v>3.1399999999999998E-5</v>
      </c>
      <c r="M3">
        <v>360</v>
      </c>
      <c r="N3" s="1">
        <v>5.6400000000000002E-5</v>
      </c>
      <c r="Q3" t="s">
        <v>6</v>
      </c>
      <c r="R3" t="s">
        <v>17</v>
      </c>
      <c r="S3" t="s">
        <v>18</v>
      </c>
      <c r="T3" t="s">
        <v>17</v>
      </c>
      <c r="U3" t="s">
        <v>18</v>
      </c>
      <c r="V3" t="s">
        <v>17</v>
      </c>
      <c r="W3" t="s">
        <v>18</v>
      </c>
      <c r="X3" t="s">
        <v>17</v>
      </c>
      <c r="Y3" t="s">
        <v>18</v>
      </c>
    </row>
    <row r="4" spans="1:25" x14ac:dyDescent="0.2">
      <c r="A4">
        <v>282</v>
      </c>
      <c r="B4" s="1">
        <v>1</v>
      </c>
      <c r="C4">
        <v>322</v>
      </c>
      <c r="D4" s="1">
        <v>5.5500000000000002E-3</v>
      </c>
      <c r="E4">
        <v>362</v>
      </c>
      <c r="F4" s="1">
        <v>4.5199999999999998E-4</v>
      </c>
      <c r="I4">
        <v>282</v>
      </c>
      <c r="J4" s="1">
        <v>2.37E-11</v>
      </c>
      <c r="K4">
        <v>322</v>
      </c>
      <c r="L4" s="1">
        <v>3.3200000000000001E-5</v>
      </c>
      <c r="M4">
        <v>362</v>
      </c>
      <c r="N4" s="1">
        <v>6.0000000000000002E-5</v>
      </c>
      <c r="Q4" t="s">
        <v>11</v>
      </c>
      <c r="R4">
        <v>41.655000000000001</v>
      </c>
      <c r="S4">
        <v>28.105</v>
      </c>
      <c r="T4">
        <v>0.7</v>
      </c>
      <c r="U4">
        <v>0.88400000000000001</v>
      </c>
      <c r="V4">
        <v>0.49</v>
      </c>
      <c r="W4">
        <v>0.78100000000000003</v>
      </c>
      <c r="X4">
        <v>0.57999999999999996</v>
      </c>
      <c r="Y4">
        <v>0.70699999999999996</v>
      </c>
    </row>
    <row r="5" spans="1:25" x14ac:dyDescent="0.2">
      <c r="A5">
        <v>284</v>
      </c>
      <c r="B5" s="1">
        <v>1</v>
      </c>
      <c r="C5">
        <v>324</v>
      </c>
      <c r="D5" s="1">
        <v>3.5999999999999999E-3</v>
      </c>
      <c r="E5">
        <v>364</v>
      </c>
      <c r="F5" s="1">
        <v>4.2200000000000001E-4</v>
      </c>
      <c r="I5">
        <v>284</v>
      </c>
      <c r="J5" s="1">
        <v>3.1400000000000003E-11</v>
      </c>
      <c r="K5">
        <v>324</v>
      </c>
      <c r="L5" s="1">
        <v>3.6100000000000003E-5</v>
      </c>
      <c r="M5">
        <v>364</v>
      </c>
      <c r="N5" s="1">
        <v>6.4800000000000003E-5</v>
      </c>
      <c r="Q5" t="s">
        <v>12</v>
      </c>
      <c r="R5">
        <v>40.615000000000002</v>
      </c>
      <c r="S5">
        <v>81.718000000000004</v>
      </c>
      <c r="T5">
        <v>9.2460000000000004</v>
      </c>
      <c r="U5">
        <v>17.959</v>
      </c>
      <c r="V5">
        <v>85.492000000000004</v>
      </c>
      <c r="W5">
        <v>322.53300000000002</v>
      </c>
      <c r="X5">
        <v>7.3979999999999997</v>
      </c>
      <c r="Y5">
        <v>14.37</v>
      </c>
    </row>
    <row r="6" spans="1:25" x14ac:dyDescent="0.2">
      <c r="A6">
        <v>286</v>
      </c>
      <c r="B6" s="1">
        <v>1</v>
      </c>
      <c r="C6">
        <v>326</v>
      </c>
      <c r="D6" s="1">
        <v>2.33E-3</v>
      </c>
      <c r="E6">
        <v>366</v>
      </c>
      <c r="F6" s="1">
        <v>3.9399999999999998E-4</v>
      </c>
      <c r="I6">
        <v>286</v>
      </c>
      <c r="J6" s="1">
        <v>4.0600000000000001E-11</v>
      </c>
      <c r="K6">
        <v>326</v>
      </c>
      <c r="L6" s="1">
        <v>4.4499999999999997E-5</v>
      </c>
      <c r="M6">
        <v>366</v>
      </c>
      <c r="N6" s="1">
        <v>7.1799999999999997E-5</v>
      </c>
      <c r="Q6" t="s">
        <v>13</v>
      </c>
      <c r="R6">
        <v>23.733000000000001</v>
      </c>
      <c r="S6">
        <v>42.603000000000002</v>
      </c>
      <c r="T6">
        <v>1.3939999999999999</v>
      </c>
      <c r="U6">
        <v>5.9779999999999998</v>
      </c>
      <c r="V6">
        <v>1.9430000000000001</v>
      </c>
      <c r="W6">
        <v>35.732999999999997</v>
      </c>
      <c r="X6">
        <v>1.115</v>
      </c>
      <c r="Y6">
        <v>4.7830000000000004</v>
      </c>
    </row>
    <row r="7" spans="1:25" x14ac:dyDescent="0.2">
      <c r="A7">
        <v>288</v>
      </c>
      <c r="B7" s="1">
        <v>1</v>
      </c>
      <c r="C7">
        <v>328</v>
      </c>
      <c r="D7" s="1">
        <v>1.5100000000000001E-3</v>
      </c>
      <c r="E7">
        <v>368</v>
      </c>
      <c r="F7" s="1">
        <v>3.6699999999999998E-4</v>
      </c>
      <c r="I7">
        <v>288</v>
      </c>
      <c r="J7" s="1">
        <v>6.4699999999999994E-11</v>
      </c>
      <c r="K7">
        <v>328</v>
      </c>
      <c r="L7" s="1">
        <v>5.0099999999999998E-5</v>
      </c>
      <c r="M7">
        <v>368</v>
      </c>
      <c r="N7" s="1">
        <v>7.6199999999999995E-5</v>
      </c>
      <c r="Q7" t="s">
        <v>14</v>
      </c>
      <c r="R7">
        <v>7.7969999999999997</v>
      </c>
      <c r="S7">
        <v>3.7229999999999999</v>
      </c>
      <c r="T7">
        <v>0.36699999999999999</v>
      </c>
      <c r="U7">
        <v>0.23799999999999999</v>
      </c>
      <c r="V7">
        <v>0.13400000000000001</v>
      </c>
      <c r="W7">
        <v>5.6000000000000001E-2</v>
      </c>
      <c r="X7">
        <v>0.29399999999999998</v>
      </c>
      <c r="Y7">
        <v>0.19</v>
      </c>
    </row>
    <row r="8" spans="1:25" x14ac:dyDescent="0.2">
      <c r="A8">
        <v>290</v>
      </c>
      <c r="B8" s="1">
        <v>1</v>
      </c>
      <c r="C8">
        <v>330</v>
      </c>
      <c r="D8" s="1">
        <v>1.3600000000000001E-3</v>
      </c>
      <c r="E8">
        <v>370</v>
      </c>
      <c r="F8" s="1">
        <v>3.4299999999999999E-4</v>
      </c>
      <c r="I8">
        <v>290</v>
      </c>
      <c r="J8" s="1">
        <v>3.0900000000000002E-10</v>
      </c>
      <c r="K8">
        <v>330</v>
      </c>
      <c r="L8" s="1">
        <v>5.3199999999999999E-5</v>
      </c>
      <c r="M8">
        <v>370</v>
      </c>
      <c r="N8" s="1">
        <v>7.6600000000000005E-5</v>
      </c>
      <c r="Q8" t="s">
        <v>15</v>
      </c>
      <c r="R8">
        <v>57.947000000000003</v>
      </c>
      <c r="S8">
        <v>15.779</v>
      </c>
      <c r="T8">
        <v>4.2809999999999997</v>
      </c>
      <c r="U8">
        <v>3.0209999999999999</v>
      </c>
      <c r="V8">
        <v>18.324999999999999</v>
      </c>
      <c r="W8">
        <v>9.125</v>
      </c>
      <c r="X8">
        <v>3.4249999999999998</v>
      </c>
      <c r="Y8">
        <v>2.4710000000000001</v>
      </c>
    </row>
    <row r="9" spans="1:25" x14ac:dyDescent="0.2">
      <c r="A9">
        <v>292</v>
      </c>
      <c r="B9" s="1">
        <v>1</v>
      </c>
      <c r="C9">
        <v>332</v>
      </c>
      <c r="D9" s="1">
        <v>1.2700000000000001E-3</v>
      </c>
      <c r="E9">
        <v>372</v>
      </c>
      <c r="F9" s="1">
        <v>3.2000000000000003E-4</v>
      </c>
      <c r="I9">
        <v>292</v>
      </c>
      <c r="J9" s="1">
        <v>2.8499999999999999E-9</v>
      </c>
      <c r="K9">
        <v>332</v>
      </c>
      <c r="L9" s="1">
        <v>5.3300000000000001E-5</v>
      </c>
      <c r="M9">
        <v>372</v>
      </c>
      <c r="N9" s="1">
        <v>7.4999999999999993E-5</v>
      </c>
      <c r="Q9" t="s">
        <v>16</v>
      </c>
      <c r="R9">
        <v>22.32</v>
      </c>
      <c r="S9">
        <v>10.686</v>
      </c>
      <c r="T9">
        <v>2.492</v>
      </c>
      <c r="U9">
        <v>0.54700000000000004</v>
      </c>
      <c r="V9">
        <v>6.2089999999999996</v>
      </c>
      <c r="W9">
        <v>0.29899999999999999</v>
      </c>
      <c r="X9">
        <v>1.994</v>
      </c>
      <c r="Y9">
        <v>0.438</v>
      </c>
    </row>
    <row r="10" spans="1:25" x14ac:dyDescent="0.2">
      <c r="A10">
        <v>294</v>
      </c>
      <c r="B10" s="1">
        <v>1</v>
      </c>
      <c r="C10">
        <v>334</v>
      </c>
      <c r="D10" s="1">
        <v>1.1900000000000001E-3</v>
      </c>
      <c r="E10">
        <v>374</v>
      </c>
      <c r="F10" s="1">
        <v>2.99E-4</v>
      </c>
      <c r="I10">
        <v>294</v>
      </c>
      <c r="J10" s="1">
        <v>2.92E-8</v>
      </c>
      <c r="K10">
        <v>334</v>
      </c>
      <c r="L10" s="1">
        <v>5.2299999999999997E-5</v>
      </c>
      <c r="M10">
        <v>374</v>
      </c>
      <c r="N10" s="1">
        <v>6.6099999999999994E-5</v>
      </c>
    </row>
    <row r="11" spans="1:25" x14ac:dyDescent="0.2">
      <c r="A11">
        <v>296</v>
      </c>
      <c r="B11" s="1">
        <v>1</v>
      </c>
      <c r="C11">
        <v>336</v>
      </c>
      <c r="D11" s="1">
        <v>1.1100000000000001E-3</v>
      </c>
      <c r="E11">
        <v>376</v>
      </c>
      <c r="F11" s="1">
        <v>2.7900000000000001E-4</v>
      </c>
      <c r="I11">
        <v>296</v>
      </c>
      <c r="J11" s="1">
        <v>1.2800000000000001E-7</v>
      </c>
      <c r="K11">
        <v>336</v>
      </c>
      <c r="L11" s="1">
        <v>5.0399999999999999E-5</v>
      </c>
      <c r="M11">
        <v>376</v>
      </c>
      <c r="N11" s="1">
        <v>6.6600000000000006E-5</v>
      </c>
    </row>
    <row r="12" spans="1:25" x14ac:dyDescent="0.2">
      <c r="A12">
        <v>298</v>
      </c>
      <c r="B12" s="1">
        <v>1</v>
      </c>
      <c r="C12">
        <v>338</v>
      </c>
      <c r="D12" s="1">
        <v>1.0399999999999999E-3</v>
      </c>
      <c r="E12">
        <v>378</v>
      </c>
      <c r="F12" s="1">
        <v>2.5999999999999998E-4</v>
      </c>
      <c r="I12">
        <v>298</v>
      </c>
      <c r="J12" s="1">
        <v>3.3700000000000001E-7</v>
      </c>
      <c r="K12">
        <v>338</v>
      </c>
      <c r="L12" s="1">
        <v>4.99E-5</v>
      </c>
      <c r="M12">
        <v>378</v>
      </c>
      <c r="N12" s="1">
        <v>7.4599999999999997E-5</v>
      </c>
    </row>
    <row r="13" spans="1:25" x14ac:dyDescent="0.2">
      <c r="A13">
        <v>300</v>
      </c>
      <c r="B13" s="1">
        <v>0.64900000000000002</v>
      </c>
      <c r="C13">
        <v>340</v>
      </c>
      <c r="D13" s="1">
        <v>9.6599999999999995E-4</v>
      </c>
      <c r="E13">
        <v>380</v>
      </c>
      <c r="F13" s="1">
        <v>2.43E-4</v>
      </c>
      <c r="I13">
        <v>300</v>
      </c>
      <c r="J13" s="1">
        <v>8.6400000000000001E-7</v>
      </c>
      <c r="K13">
        <v>340</v>
      </c>
      <c r="L13" s="1">
        <v>5.3900000000000002E-5</v>
      </c>
      <c r="M13">
        <v>380</v>
      </c>
      <c r="N13" s="1">
        <v>7.5400000000000003E-5</v>
      </c>
      <c r="Q13" t="s">
        <v>109</v>
      </c>
    </row>
    <row r="14" spans="1:25" x14ac:dyDescent="0.2">
      <c r="A14">
        <v>302</v>
      </c>
      <c r="B14" s="1">
        <v>0.42099999999999999</v>
      </c>
      <c r="C14">
        <v>342</v>
      </c>
      <c r="D14" s="1">
        <v>9.0200000000000002E-4</v>
      </c>
      <c r="E14">
        <v>382</v>
      </c>
      <c r="F14" s="1">
        <v>2.2599999999999999E-4</v>
      </c>
      <c r="I14">
        <v>302</v>
      </c>
      <c r="J14" s="1">
        <v>2.3599999999999999E-6</v>
      </c>
      <c r="K14">
        <v>342</v>
      </c>
      <c r="L14" s="1">
        <v>5.5899999999999997E-5</v>
      </c>
      <c r="M14">
        <v>382</v>
      </c>
      <c r="N14" s="1">
        <v>6.4200000000000002E-5</v>
      </c>
      <c r="Q14" t="s">
        <v>110</v>
      </c>
    </row>
    <row r="15" spans="1:25" x14ac:dyDescent="0.2">
      <c r="A15">
        <v>304</v>
      </c>
      <c r="B15" s="1">
        <v>0.27300000000000002</v>
      </c>
      <c r="C15">
        <v>344</v>
      </c>
      <c r="D15" s="1">
        <v>8.4099999999999995E-4</v>
      </c>
      <c r="E15">
        <v>384</v>
      </c>
      <c r="F15" s="1">
        <v>2.1100000000000001E-4</v>
      </c>
      <c r="I15">
        <v>304</v>
      </c>
      <c r="J15" s="1">
        <v>4.3499999999999999E-6</v>
      </c>
      <c r="K15">
        <v>344</v>
      </c>
      <c r="L15" s="1">
        <v>5.3499999999999999E-5</v>
      </c>
      <c r="M15">
        <v>384</v>
      </c>
      <c r="N15" s="1">
        <v>5.8499999999999999E-5</v>
      </c>
      <c r="Q15" t="s">
        <v>113</v>
      </c>
      <c r="R15" t="s">
        <v>111</v>
      </c>
      <c r="S15" t="s">
        <v>112</v>
      </c>
      <c r="T15" t="s">
        <v>114</v>
      </c>
    </row>
    <row r="16" spans="1:25" x14ac:dyDescent="0.2">
      <c r="A16">
        <v>306</v>
      </c>
      <c r="B16" s="1">
        <v>0.17699999999999999</v>
      </c>
      <c r="C16">
        <v>346</v>
      </c>
      <c r="D16" s="1">
        <v>7.85E-4</v>
      </c>
      <c r="E16">
        <v>386</v>
      </c>
      <c r="F16" s="1">
        <v>1.9699999999999999E-4</v>
      </c>
      <c r="I16">
        <v>306</v>
      </c>
      <c r="J16" s="1">
        <v>7.1899999999999998E-6</v>
      </c>
      <c r="K16">
        <v>346</v>
      </c>
      <c r="L16" s="1">
        <v>5.3399999999999997E-5</v>
      </c>
      <c r="M16">
        <v>386</v>
      </c>
      <c r="N16" s="1">
        <v>6.2600000000000004E-5</v>
      </c>
      <c r="Q16">
        <v>4</v>
      </c>
      <c r="R16">
        <v>3</v>
      </c>
      <c r="S16">
        <v>5.8409000000000004</v>
      </c>
      <c r="T16" s="20">
        <f>S16/SQRT(Q16)</f>
        <v>2.9204500000000002</v>
      </c>
    </row>
    <row r="17" spans="1:20" x14ac:dyDescent="0.2">
      <c r="A17">
        <v>308</v>
      </c>
      <c r="B17" s="1">
        <v>0.115</v>
      </c>
      <c r="C17">
        <v>348</v>
      </c>
      <c r="D17" s="1">
        <v>7.3300000000000004E-4</v>
      </c>
      <c r="E17">
        <v>388</v>
      </c>
      <c r="F17" s="1">
        <v>1.84E-4</v>
      </c>
      <c r="I17">
        <v>308</v>
      </c>
      <c r="J17" s="1">
        <v>9.6800000000000005E-6</v>
      </c>
      <c r="K17">
        <v>348</v>
      </c>
      <c r="L17" s="1">
        <v>5.3699999999999997E-5</v>
      </c>
      <c r="M17">
        <v>388</v>
      </c>
      <c r="N17" s="1">
        <v>6.7199999999999994E-5</v>
      </c>
      <c r="Q17">
        <v>5</v>
      </c>
      <c r="R17">
        <v>4</v>
      </c>
      <c r="S17">
        <v>4.6040999999999999</v>
      </c>
      <c r="T17" s="20">
        <f t="shared" ref="T17:T22" si="0">S17/SQRT(Q17)</f>
        <v>2.0590161150413562</v>
      </c>
    </row>
    <row r="18" spans="1:20" x14ac:dyDescent="0.2">
      <c r="A18">
        <v>310</v>
      </c>
      <c r="B18" s="1">
        <v>7.4499999999999997E-2</v>
      </c>
      <c r="C18">
        <v>350</v>
      </c>
      <c r="D18" s="1">
        <v>6.8400000000000004E-4</v>
      </c>
      <c r="E18">
        <v>390</v>
      </c>
      <c r="F18" s="1">
        <v>1.7200000000000001E-4</v>
      </c>
      <c r="I18">
        <v>310</v>
      </c>
      <c r="J18" s="1">
        <v>1.34E-5</v>
      </c>
      <c r="K18">
        <v>350</v>
      </c>
      <c r="L18" s="1">
        <v>5.5899999999999997E-5</v>
      </c>
      <c r="M18">
        <v>390</v>
      </c>
      <c r="N18" s="1">
        <v>7.5699999999999997E-5</v>
      </c>
      <c r="Q18">
        <v>6</v>
      </c>
      <c r="R18">
        <v>5</v>
      </c>
      <c r="S18">
        <v>4.0321999999999996</v>
      </c>
      <c r="T18" s="20">
        <f t="shared" si="0"/>
        <v>1.6461387568083885</v>
      </c>
    </row>
    <row r="19" spans="1:20" x14ac:dyDescent="0.2">
      <c r="A19">
        <v>312</v>
      </c>
      <c r="B19" s="1">
        <v>4.8300000000000003E-2</v>
      </c>
      <c r="C19">
        <v>352</v>
      </c>
      <c r="D19" s="1">
        <v>6.38E-4</v>
      </c>
      <c r="E19">
        <v>392</v>
      </c>
      <c r="F19" s="1">
        <v>1.6000000000000001E-4</v>
      </c>
      <c r="I19">
        <v>312</v>
      </c>
      <c r="J19" s="1">
        <v>1.7499999999999998E-5</v>
      </c>
      <c r="K19">
        <v>352</v>
      </c>
      <c r="L19" s="1">
        <v>5.8900000000000002E-5</v>
      </c>
      <c r="M19">
        <v>392</v>
      </c>
      <c r="N19" s="1">
        <v>7.1600000000000006E-5</v>
      </c>
      <c r="Q19">
        <v>7</v>
      </c>
      <c r="R19">
        <v>6</v>
      </c>
      <c r="S19">
        <v>3.7073999999999998</v>
      </c>
      <c r="T19" s="20">
        <f t="shared" si="0"/>
        <v>1.4012654872344088</v>
      </c>
    </row>
    <row r="20" spans="1:20" x14ac:dyDescent="0.2">
      <c r="A20">
        <v>314</v>
      </c>
      <c r="B20" s="1">
        <v>3.1300000000000001E-2</v>
      </c>
      <c r="C20">
        <v>354</v>
      </c>
      <c r="D20" s="1">
        <v>5.9599999999999996E-4</v>
      </c>
      <c r="E20">
        <v>394</v>
      </c>
      <c r="F20" s="1">
        <v>1.4999999999999999E-4</v>
      </c>
      <c r="I20">
        <v>314</v>
      </c>
      <c r="J20" s="1">
        <v>2.1299999999999999E-5</v>
      </c>
      <c r="K20">
        <v>354</v>
      </c>
      <c r="L20" s="1">
        <v>6.1299999999999999E-5</v>
      </c>
      <c r="M20">
        <v>394</v>
      </c>
      <c r="N20" s="1">
        <v>6.5500000000000006E-5</v>
      </c>
      <c r="Q20">
        <v>8</v>
      </c>
      <c r="R20">
        <v>7</v>
      </c>
      <c r="S20">
        <v>3.4994999999999998</v>
      </c>
      <c r="T20" s="20">
        <f t="shared" si="0"/>
        <v>1.2372600903811615</v>
      </c>
    </row>
    <row r="21" spans="1:20" x14ac:dyDescent="0.2">
      <c r="A21">
        <v>316</v>
      </c>
      <c r="B21" s="1">
        <v>2.0299999999999999E-2</v>
      </c>
      <c r="C21">
        <v>356</v>
      </c>
      <c r="D21" s="1">
        <v>5.5599999999999996E-4</v>
      </c>
      <c r="E21">
        <v>396</v>
      </c>
      <c r="F21" s="1">
        <v>1.3999999999999999E-4</v>
      </c>
      <c r="I21">
        <v>316</v>
      </c>
      <c r="J21" s="1">
        <v>2.4300000000000001E-5</v>
      </c>
      <c r="K21">
        <v>356</v>
      </c>
      <c r="L21" s="1">
        <v>6.0600000000000003E-5</v>
      </c>
      <c r="M21">
        <v>396</v>
      </c>
      <c r="N21" s="1">
        <v>6.8100000000000002E-5</v>
      </c>
      <c r="Q21">
        <v>9</v>
      </c>
      <c r="R21">
        <v>8</v>
      </c>
      <c r="S21">
        <v>3.3553999999999999</v>
      </c>
      <c r="T21" s="20">
        <f t="shared" si="0"/>
        <v>1.1184666666666667</v>
      </c>
    </row>
    <row r="22" spans="1:20" x14ac:dyDescent="0.2">
      <c r="A22">
        <v>318</v>
      </c>
      <c r="B22" s="1">
        <v>1.32E-2</v>
      </c>
      <c r="C22">
        <v>358</v>
      </c>
      <c r="D22" s="1">
        <v>5.1900000000000004E-4</v>
      </c>
      <c r="E22">
        <v>398</v>
      </c>
      <c r="F22" s="1">
        <v>1.2999999999999999E-4</v>
      </c>
      <c r="I22">
        <v>318</v>
      </c>
      <c r="J22" s="1">
        <v>2.7900000000000001E-5</v>
      </c>
      <c r="K22">
        <v>358</v>
      </c>
      <c r="L22" s="1">
        <v>5.38E-5</v>
      </c>
      <c r="M22">
        <v>398</v>
      </c>
      <c r="N22" s="1">
        <v>8.0099999999999995E-5</v>
      </c>
      <c r="Q22">
        <v>10</v>
      </c>
      <c r="R22">
        <v>9</v>
      </c>
      <c r="S22">
        <v>3.2498</v>
      </c>
      <c r="T22" s="20">
        <f t="shared" si="0"/>
        <v>1.0276769940015198</v>
      </c>
    </row>
    <row r="23" spans="1:20" x14ac:dyDescent="0.2">
      <c r="E23">
        <v>400</v>
      </c>
      <c r="F23" s="1">
        <v>1.22E-4</v>
      </c>
      <c r="M23">
        <v>400</v>
      </c>
      <c r="N23" s="1">
        <v>1.01E-4</v>
      </c>
      <c r="T23" s="20">
        <f>VLOOKUP(Q19,Q16:T22,4,TRUE)</f>
        <v>1.4012654872344088</v>
      </c>
    </row>
    <row r="24" spans="1:20" x14ac:dyDescent="0.2">
      <c r="B24" t="s">
        <v>148</v>
      </c>
    </row>
    <row r="25" spans="1:20" x14ac:dyDescent="0.2">
      <c r="Q25" t="s">
        <v>142</v>
      </c>
    </row>
    <row r="26" spans="1:20" x14ac:dyDescent="0.2">
      <c r="A26">
        <v>400</v>
      </c>
      <c r="B26" s="1">
        <v>1.22E-4</v>
      </c>
      <c r="C26">
        <v>1.18</v>
      </c>
      <c r="E26" s="1">
        <v>1.22E-4</v>
      </c>
      <c r="Q26" t="s">
        <v>143</v>
      </c>
      <c r="R26" t="s">
        <v>144</v>
      </c>
    </row>
    <row r="27" spans="1:20" ht="18" x14ac:dyDescent="0.25">
      <c r="A27">
        <v>395</v>
      </c>
      <c r="B27" s="1">
        <v>1.45E-4</v>
      </c>
      <c r="C27">
        <v>0.69299999999999995</v>
      </c>
      <c r="E27" s="1">
        <v>1.45E-4</v>
      </c>
      <c r="Q27" t="s">
        <v>113</v>
      </c>
      <c r="R27" t="s">
        <v>111</v>
      </c>
      <c r="S27" s="43" t="s">
        <v>145</v>
      </c>
    </row>
    <row r="28" spans="1:20" x14ac:dyDescent="0.2">
      <c r="A28">
        <v>390</v>
      </c>
      <c r="B28" s="1">
        <v>1.7200000000000001E-4</v>
      </c>
      <c r="C28">
        <v>0.89700000000000002</v>
      </c>
      <c r="E28" s="1">
        <v>1.7200000000000001E-4</v>
      </c>
      <c r="Q28">
        <v>4</v>
      </c>
      <c r="R28">
        <v>3</v>
      </c>
      <c r="S28">
        <v>3.18</v>
      </c>
      <c r="T28" s="20">
        <f>S28/SQRT(Q28)</f>
        <v>1.59</v>
      </c>
    </row>
    <row r="29" spans="1:20" x14ac:dyDescent="0.2">
      <c r="A29">
        <v>385</v>
      </c>
      <c r="B29" s="1">
        <v>2.04E-4</v>
      </c>
      <c r="C29">
        <v>0.69299999999999995</v>
      </c>
      <c r="E29" s="1">
        <v>2.04E-4</v>
      </c>
      <c r="Q29">
        <v>5</v>
      </c>
      <c r="R29">
        <v>4</v>
      </c>
      <c r="S29">
        <v>2.77</v>
      </c>
      <c r="T29" s="20">
        <f t="shared" ref="T29:T34" si="1">S29/SQRT(Q29)</f>
        <v>1.2387816595348835</v>
      </c>
    </row>
    <row r="30" spans="1:20" x14ac:dyDescent="0.2">
      <c r="A30">
        <v>380</v>
      </c>
      <c r="B30" s="1">
        <v>2.43E-4</v>
      </c>
      <c r="C30">
        <v>0.90200000000000002</v>
      </c>
      <c r="E30" s="1">
        <v>2.43E-4</v>
      </c>
      <c r="Q30">
        <v>6</v>
      </c>
      <c r="R30">
        <v>5</v>
      </c>
      <c r="S30">
        <v>2.57</v>
      </c>
      <c r="T30" s="20">
        <f t="shared" si="1"/>
        <v>1.0491981064921281</v>
      </c>
    </row>
    <row r="31" spans="1:20" x14ac:dyDescent="0.2">
      <c r="A31">
        <v>375</v>
      </c>
      <c r="B31" s="1">
        <v>2.9E-4</v>
      </c>
      <c r="C31">
        <v>0.78</v>
      </c>
      <c r="E31" s="1">
        <v>2.8800000000000001E-4</v>
      </c>
      <c r="Q31">
        <v>7</v>
      </c>
      <c r="R31">
        <v>6</v>
      </c>
      <c r="S31">
        <v>2.44</v>
      </c>
      <c r="T31" s="20">
        <f t="shared" si="1"/>
        <v>0.92223331414251442</v>
      </c>
    </row>
    <row r="32" spans="1:20" x14ac:dyDescent="0.2">
      <c r="A32">
        <v>370</v>
      </c>
      <c r="B32" s="1">
        <v>3.4000000000000002E-4</v>
      </c>
      <c r="C32">
        <v>0.876</v>
      </c>
      <c r="E32" s="1">
        <v>3.4299999999999999E-4</v>
      </c>
      <c r="Q32">
        <v>8</v>
      </c>
      <c r="R32">
        <v>7</v>
      </c>
      <c r="S32">
        <v>2.36</v>
      </c>
      <c r="T32" s="20">
        <f t="shared" si="1"/>
        <v>0.83438600180012601</v>
      </c>
    </row>
    <row r="33" spans="1:20" x14ac:dyDescent="0.2">
      <c r="A33">
        <v>365</v>
      </c>
      <c r="B33" s="1">
        <v>4.0999999999999999E-4</v>
      </c>
      <c r="C33">
        <v>0.84899999999999998</v>
      </c>
      <c r="E33" s="1">
        <v>4.0700000000000003E-4</v>
      </c>
      <c r="Q33">
        <v>9</v>
      </c>
      <c r="R33">
        <v>8</v>
      </c>
      <c r="S33">
        <v>2.2999999999999998</v>
      </c>
      <c r="T33" s="20">
        <f t="shared" si="1"/>
        <v>0.76666666666666661</v>
      </c>
    </row>
    <row r="34" spans="1:20" x14ac:dyDescent="0.2">
      <c r="A34">
        <v>360</v>
      </c>
      <c r="B34" s="1">
        <v>4.8000000000000001E-4</v>
      </c>
      <c r="C34">
        <v>0.67400000000000004</v>
      </c>
      <c r="E34" s="1">
        <v>4.84E-4</v>
      </c>
      <c r="Q34">
        <v>10</v>
      </c>
      <c r="R34">
        <v>9</v>
      </c>
      <c r="S34">
        <v>2.2599999999999998</v>
      </c>
      <c r="T34" s="20">
        <f t="shared" si="1"/>
        <v>0.71467475119805357</v>
      </c>
    </row>
    <row r="35" spans="1:20" x14ac:dyDescent="0.2">
      <c r="A35">
        <v>355</v>
      </c>
      <c r="B35" s="1">
        <v>5.8E-4</v>
      </c>
      <c r="C35">
        <v>0.74299999999999999</v>
      </c>
      <c r="E35" s="1">
        <v>5.7499999999999999E-4</v>
      </c>
    </row>
    <row r="36" spans="1:20" x14ac:dyDescent="0.2">
      <c r="A36">
        <v>350</v>
      </c>
      <c r="B36" s="1">
        <v>6.8000000000000005E-4</v>
      </c>
      <c r="C36">
        <v>0.69199999999999995</v>
      </c>
      <c r="E36" s="1">
        <v>6.8400000000000004E-4</v>
      </c>
    </row>
    <row r="37" spans="1:20" x14ac:dyDescent="0.2">
      <c r="A37">
        <v>345</v>
      </c>
      <c r="B37" s="1">
        <v>8.0999999999999996E-4</v>
      </c>
      <c r="C37">
        <v>0.65</v>
      </c>
      <c r="E37" s="1">
        <v>8.0999999999999996E-4</v>
      </c>
    </row>
    <row r="38" spans="1:20" x14ac:dyDescent="0.2">
      <c r="A38">
        <v>340</v>
      </c>
      <c r="B38" s="1">
        <v>9.7000000000000005E-4</v>
      </c>
      <c r="C38">
        <v>0.67500000000000004</v>
      </c>
      <c r="E38" s="1">
        <v>9.6599999999999995E-4</v>
      </c>
    </row>
    <row r="39" spans="1:20" x14ac:dyDescent="0.2">
      <c r="A39">
        <v>335</v>
      </c>
      <c r="B39" s="1">
        <v>1.15E-3</v>
      </c>
      <c r="C39">
        <v>0.60199999999999998</v>
      </c>
      <c r="E39" s="1">
        <v>1.15E-3</v>
      </c>
    </row>
    <row r="40" spans="1:20" x14ac:dyDescent="0.2">
      <c r="A40">
        <v>330</v>
      </c>
      <c r="B40" s="1">
        <v>1.3600000000000001E-3</v>
      </c>
      <c r="C40">
        <v>0.629</v>
      </c>
      <c r="E40" s="1">
        <v>1.3600000000000001E-3</v>
      </c>
    </row>
    <row r="41" spans="1:20" x14ac:dyDescent="0.2">
      <c r="A41">
        <v>325</v>
      </c>
      <c r="B41" s="1">
        <v>2.8999999999999998E-3</v>
      </c>
      <c r="C41">
        <v>0.49399999999999999</v>
      </c>
      <c r="E41" s="1">
        <v>2.8999999999999998E-3</v>
      </c>
    </row>
    <row r="42" spans="1:20" x14ac:dyDescent="0.2">
      <c r="A42">
        <v>320</v>
      </c>
      <c r="B42" s="1">
        <v>8.6E-3</v>
      </c>
      <c r="C42">
        <v>0.375</v>
      </c>
      <c r="E42" s="1">
        <v>8.5500000000000003E-3</v>
      </c>
    </row>
    <row r="43" spans="1:20" x14ac:dyDescent="0.2">
      <c r="A43">
        <v>315</v>
      </c>
      <c r="B43" s="1">
        <v>2.52E-2</v>
      </c>
      <c r="C43">
        <v>0.28199999999999997</v>
      </c>
      <c r="E43" s="1">
        <v>2.52E-2</v>
      </c>
    </row>
    <row r="44" spans="1:20" x14ac:dyDescent="0.2">
      <c r="A44">
        <v>310</v>
      </c>
      <c r="B44" s="1">
        <v>7.4499999999999997E-2</v>
      </c>
      <c r="C44">
        <v>0.17199999999999999</v>
      </c>
      <c r="E44" s="1">
        <v>7.4499999999999997E-2</v>
      </c>
    </row>
    <row r="45" spans="1:20" x14ac:dyDescent="0.2">
      <c r="A45">
        <v>305</v>
      </c>
      <c r="B45" s="1">
        <v>0.22</v>
      </c>
      <c r="C45" s="1">
        <v>7.6700000000000004E-2</v>
      </c>
      <c r="E45" s="1">
        <v>0.22</v>
      </c>
    </row>
    <row r="46" spans="1:20" x14ac:dyDescent="0.2">
      <c r="A46">
        <v>300</v>
      </c>
      <c r="B46" s="1">
        <v>0.64900000000000002</v>
      </c>
      <c r="C46" s="1">
        <v>1.3599999999999999E-2</v>
      </c>
      <c r="E46" s="1">
        <v>0.64900000000000002</v>
      </c>
    </row>
    <row r="47" spans="1:20" x14ac:dyDescent="0.2">
      <c r="A47">
        <v>295</v>
      </c>
      <c r="B47" s="1">
        <v>1</v>
      </c>
      <c r="C47" s="1">
        <v>1.34E-3</v>
      </c>
      <c r="E47" s="1">
        <v>1</v>
      </c>
    </row>
    <row r="48" spans="1:20" x14ac:dyDescent="0.2">
      <c r="A48">
        <v>290</v>
      </c>
      <c r="B48" s="1">
        <v>1</v>
      </c>
      <c r="C48" s="1">
        <v>7.5699999999999997E-5</v>
      </c>
      <c r="E48" s="1">
        <v>1</v>
      </c>
    </row>
    <row r="49" spans="1:36" ht="15" thickBot="1" x14ac:dyDescent="0.25"/>
    <row r="50" spans="1:36" ht="18" thickBot="1" x14ac:dyDescent="0.35">
      <c r="A50" s="4"/>
    </row>
    <row r="51" spans="1:36" ht="21.75" thickTop="1" thickBot="1" x14ac:dyDescent="0.35">
      <c r="A51" s="17"/>
      <c r="L51" s="6"/>
      <c r="M51" s="6"/>
      <c r="N51" s="6"/>
      <c r="O51" s="6"/>
      <c r="P51" s="24"/>
      <c r="Z51" s="6"/>
      <c r="AA51" s="13"/>
      <c r="AB51" s="7"/>
    </row>
    <row r="52" spans="1:36" ht="16.5" thickTop="1" x14ac:dyDescent="0.25">
      <c r="L52" s="6"/>
      <c r="M52" s="9"/>
      <c r="N52" s="12"/>
      <c r="O52" s="22"/>
      <c r="P52" s="6"/>
      <c r="Z52" s="22"/>
      <c r="AA52" s="22"/>
      <c r="AB52" s="8"/>
    </row>
    <row r="53" spans="1:36" ht="15.75" x14ac:dyDescent="0.25">
      <c r="L53" s="6"/>
      <c r="M53" s="6"/>
      <c r="N53" s="8"/>
      <c r="O53" s="22"/>
      <c r="P53" s="6"/>
      <c r="Z53" s="14"/>
      <c r="AA53" s="6"/>
      <c r="AB53" s="6"/>
    </row>
    <row r="54" spans="1:36" ht="15.75" x14ac:dyDescent="0.25">
      <c r="A54" t="s">
        <v>150</v>
      </c>
      <c r="L54" s="6"/>
      <c r="M54" s="23"/>
      <c r="N54" s="23"/>
      <c r="O54" s="6"/>
    </row>
    <row r="55" spans="1:36" ht="15.75" x14ac:dyDescent="0.25">
      <c r="A55" t="b">
        <v>1</v>
      </c>
      <c r="L55" s="6"/>
      <c r="M55" s="23"/>
      <c r="N55" s="23"/>
      <c r="O55" s="6"/>
    </row>
    <row r="56" spans="1:36" x14ac:dyDescent="0.2">
      <c r="M56" s="1"/>
      <c r="AA56" s="44"/>
      <c r="AB56" s="44"/>
      <c r="AC56" s="44"/>
      <c r="AD56" s="44"/>
      <c r="AE56" s="44"/>
      <c r="AF56" s="44"/>
      <c r="AG56" s="44"/>
      <c r="AH56" s="44"/>
      <c r="AI56" s="44"/>
      <c r="AJ56" s="44"/>
    </row>
    <row r="57" spans="1:36" x14ac:dyDescent="0.2">
      <c r="M57" s="1"/>
      <c r="AA57" s="44"/>
      <c r="AB57" s="44"/>
      <c r="AC57" s="44"/>
      <c r="AD57" s="44"/>
      <c r="AE57" s="44"/>
      <c r="AF57" s="44"/>
      <c r="AG57" s="44"/>
      <c r="AH57" s="44"/>
      <c r="AI57" s="44"/>
      <c r="AJ57" s="44"/>
    </row>
    <row r="58" spans="1:36" x14ac:dyDescent="0.2">
      <c r="M58" s="1"/>
    </row>
    <row r="59" spans="1:36" x14ac:dyDescent="0.2">
      <c r="M59" s="1"/>
    </row>
    <row r="60" spans="1:36" x14ac:dyDescent="0.2">
      <c r="M60" s="1"/>
    </row>
    <row r="61" spans="1:36" x14ac:dyDescent="0.2">
      <c r="M61" s="1"/>
    </row>
    <row r="62" spans="1:36" x14ac:dyDescent="0.2">
      <c r="M62" s="1"/>
    </row>
    <row r="63" spans="1:36" x14ac:dyDescent="0.2">
      <c r="M63" s="1"/>
    </row>
    <row r="64" spans="1:36" x14ac:dyDescent="0.2">
      <c r="M64" s="1"/>
    </row>
    <row r="65" spans="12:14" x14ac:dyDescent="0.2">
      <c r="M65" s="1"/>
    </row>
    <row r="66" spans="12:14" x14ac:dyDescent="0.2">
      <c r="M66" s="1"/>
    </row>
    <row r="67" spans="12:14" x14ac:dyDescent="0.2">
      <c r="M67" s="1"/>
    </row>
    <row r="68" spans="12:14" x14ac:dyDescent="0.2">
      <c r="M68" s="1"/>
    </row>
    <row r="69" spans="12:14" x14ac:dyDescent="0.2">
      <c r="M69" s="1"/>
    </row>
    <row r="70" spans="12:14" x14ac:dyDescent="0.2">
      <c r="M70" s="1"/>
    </row>
    <row r="71" spans="12:14" x14ac:dyDescent="0.2">
      <c r="M71" s="1"/>
    </row>
    <row r="72" spans="12:14" x14ac:dyDescent="0.2">
      <c r="M72" s="1"/>
    </row>
    <row r="73" spans="12:14" x14ac:dyDescent="0.2">
      <c r="M73" s="1"/>
    </row>
    <row r="74" spans="12:14" x14ac:dyDescent="0.2">
      <c r="M74" s="1"/>
    </row>
    <row r="75" spans="12:14" x14ac:dyDescent="0.2">
      <c r="M75" s="1"/>
      <c r="N75" s="1"/>
    </row>
    <row r="76" spans="12:14" x14ac:dyDescent="0.2">
      <c r="M76" s="1"/>
      <c r="N76" s="1"/>
    </row>
    <row r="77" spans="12:14" x14ac:dyDescent="0.2">
      <c r="M77" s="1"/>
      <c r="N77" s="1"/>
    </row>
    <row r="78" spans="12:14" x14ac:dyDescent="0.2">
      <c r="M78" s="1"/>
      <c r="N78" s="1"/>
    </row>
    <row r="79" spans="12:14" x14ac:dyDescent="0.2">
      <c r="L79" s="22"/>
    </row>
    <row r="80" spans="12:14" x14ac:dyDescent="0.2">
      <c r="L80" s="22"/>
    </row>
    <row r="81" spans="12:12" x14ac:dyDescent="0.2">
      <c r="L81" s="2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1</vt:i4>
      </vt:variant>
    </vt:vector>
  </HeadingPairs>
  <TitlesOfParts>
    <vt:vector size="11" baseType="lpstr">
      <vt:lpstr>Data1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  <vt:lpstr>report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2019-08-05T18:00:39Z</dcterms:modified>
</cp:coreProperties>
</file>